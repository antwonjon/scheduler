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Branch Tellers\Schedules\"/>
    </mc:Choice>
  </mc:AlternateContent>
  <bookViews>
    <workbookView xWindow="0" yWindow="0" windowWidth="21600" windowHeight="9675"/>
  </bookViews>
  <sheets>
    <sheet name="Schedule" sheetId="1" r:id="rId1"/>
  </sheets>
  <functionGroups builtInGroupCount="18"/>
  <definedNames>
    <definedName name="_xlnm.Print_Area" localSheetId="0">Schedule!#REF!,Schedule!#REF!,Schedule!#REF!,Schedule!#REF!,Schedule!#REF!,Schedule!#REF!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" l="1"/>
  <c r="P28" i="1"/>
  <c r="P25" i="1"/>
  <c r="P22" i="1"/>
  <c r="P19" i="1"/>
  <c r="P16" i="1"/>
  <c r="B186" i="1"/>
  <c r="B155" i="1"/>
  <c r="B124" i="1"/>
  <c r="B93" i="1"/>
  <c r="B62" i="1"/>
  <c r="B31" i="1"/>
  <c r="B183" i="1"/>
  <c r="B152" i="1"/>
  <c r="B121" i="1"/>
  <c r="B90" i="1"/>
  <c r="B59" i="1"/>
  <c r="B28" i="1"/>
  <c r="B180" i="1"/>
  <c r="B149" i="1"/>
  <c r="B118" i="1"/>
  <c r="B87" i="1"/>
  <c r="B56" i="1"/>
  <c r="B25" i="1"/>
  <c r="B177" i="1"/>
  <c r="B146" i="1"/>
  <c r="B115" i="1"/>
  <c r="B84" i="1"/>
  <c r="B53" i="1"/>
  <c r="B22" i="1"/>
  <c r="B174" i="1"/>
  <c r="B143" i="1"/>
  <c r="B112" i="1"/>
  <c r="B81" i="1"/>
  <c r="B50" i="1"/>
  <c r="B19" i="1"/>
  <c r="B171" i="1"/>
  <c r="B140" i="1"/>
  <c r="B109" i="1"/>
  <c r="B78" i="1"/>
  <c r="B47" i="1"/>
  <c r="B16" i="1"/>
  <c r="W25" i="1"/>
  <c r="W16" i="1"/>
  <c r="W28" i="1"/>
  <c r="W19" i="1"/>
  <c r="W31" i="1"/>
  <c r="W22" i="1"/>
  <c r="I186" i="1"/>
  <c r="I155" i="1"/>
  <c r="I124" i="1"/>
  <c r="I93" i="1"/>
  <c r="I62" i="1"/>
  <c r="I31" i="1"/>
  <c r="I183" i="1"/>
  <c r="I152" i="1"/>
  <c r="I121" i="1"/>
  <c r="I90" i="1"/>
  <c r="I59" i="1"/>
  <c r="I28" i="1"/>
  <c r="I180" i="1"/>
  <c r="I149" i="1"/>
  <c r="I118" i="1"/>
  <c r="I87" i="1"/>
  <c r="I56" i="1"/>
  <c r="I25" i="1"/>
  <c r="I177" i="1"/>
  <c r="I146" i="1"/>
  <c r="I115" i="1"/>
  <c r="I84" i="1"/>
  <c r="I53" i="1"/>
  <c r="I22" i="1"/>
  <c r="I174" i="1"/>
  <c r="I143" i="1"/>
  <c r="I112" i="1"/>
  <c r="I81" i="1"/>
  <c r="I50" i="1"/>
  <c r="I19" i="1"/>
  <c r="I171" i="1"/>
  <c r="I140" i="1"/>
  <c r="I109" i="1"/>
  <c r="I78" i="1"/>
  <c r="I47" i="1"/>
  <c r="I16" i="1"/>
  <c r="C15" i="1" l="1"/>
  <c r="C46" i="1" s="1"/>
  <c r="C77" i="1" s="1"/>
  <c r="C108" i="1" l="1"/>
  <c r="D77" i="1"/>
  <c r="E77" i="1" s="1"/>
  <c r="D15" i="1"/>
  <c r="C139" i="1" l="1"/>
  <c r="D108" i="1"/>
  <c r="E108" i="1" s="1"/>
  <c r="D46" i="1"/>
  <c r="E15" i="1"/>
  <c r="C75" i="1"/>
  <c r="F77" i="1"/>
  <c r="G77" i="1" s="1"/>
  <c r="H77" i="1" s="1"/>
  <c r="C106" i="1" l="1"/>
  <c r="F108" i="1"/>
  <c r="G108" i="1" s="1"/>
  <c r="H108" i="1" s="1"/>
  <c r="E46" i="1"/>
  <c r="C44" i="1" s="1"/>
  <c r="F15" i="1"/>
  <c r="C13" i="1"/>
  <c r="C170" i="1"/>
  <c r="D170" i="1" s="1"/>
  <c r="E170" i="1" s="1"/>
  <c r="D139" i="1"/>
  <c r="E139" i="1" s="1"/>
  <c r="C168" i="1" l="1"/>
  <c r="F170" i="1"/>
  <c r="G170" i="1" s="1"/>
  <c r="H170" i="1" s="1"/>
  <c r="F139" i="1"/>
  <c r="G139" i="1" s="1"/>
  <c r="H139" i="1" s="1"/>
  <c r="C137" i="1"/>
  <c r="F46" i="1"/>
  <c r="G15" i="1"/>
  <c r="G46" i="1" l="1"/>
  <c r="H46" i="1" s="1"/>
  <c r="H15" i="1"/>
</calcChain>
</file>

<file path=xl/sharedStrings.xml><?xml version="1.0" encoding="utf-8"?>
<sst xmlns="http://schemas.openxmlformats.org/spreadsheetml/2006/main" count="533" uniqueCount="86">
  <si>
    <t>Monday</t>
  </si>
  <si>
    <t>Tuesday</t>
  </si>
  <si>
    <t>Wednesday</t>
  </si>
  <si>
    <t>Thursday</t>
  </si>
  <si>
    <t>Friday</t>
  </si>
  <si>
    <t>Saturday</t>
  </si>
  <si>
    <t>INPUTS</t>
  </si>
  <si>
    <t>Holidays/Days Off</t>
  </si>
  <si>
    <t>Hours</t>
  </si>
  <si>
    <t>Email</t>
  </si>
  <si>
    <t>1st Monday on Calendar</t>
  </si>
  <si>
    <t>Notes</t>
  </si>
  <si>
    <t>Branch Huddle</t>
  </si>
  <si>
    <r>
      <rPr>
        <b/>
        <i/>
        <sz val="36"/>
        <color theme="1"/>
        <rFont val="Aharoni"/>
        <charset val="177"/>
      </rPr>
      <t xml:space="preserve"># </t>
    </r>
    <r>
      <rPr>
        <b/>
        <i/>
        <sz val="28"/>
        <color theme="1"/>
        <rFont val="Aharoni"/>
        <charset val="177"/>
      </rPr>
      <t>of Employees</t>
    </r>
  </si>
  <si>
    <t>Date of first day  on calendar:</t>
  </si>
  <si>
    <t>Sales &amp; Service</t>
  </si>
  <si>
    <t>Your Normal Week's Inputs</t>
  </si>
  <si>
    <t>Cellphone</t>
  </si>
  <si>
    <t>Carrier</t>
  </si>
  <si>
    <t>Closed</t>
  </si>
  <si>
    <t>Ellyn</t>
  </si>
  <si>
    <t>eliza.kleinsasser@fib.com</t>
  </si>
  <si>
    <t>sara.marshall@fib.com</t>
  </si>
  <si>
    <t>ellyn.livings@fib.com</t>
  </si>
  <si>
    <t>james.alderson@fib.com</t>
  </si>
  <si>
    <t>jennifer.james@fib.com</t>
  </si>
  <si>
    <t>Special Event Days</t>
  </si>
  <si>
    <t>(Circle, Highgate, Etc)</t>
  </si>
  <si>
    <t>8:45-6:00</t>
  </si>
  <si>
    <t>Lunch 1:00-2:00</t>
  </si>
  <si>
    <t>8:30-5:30</t>
  </si>
  <si>
    <t>Lunch 1:30-2:30</t>
  </si>
  <si>
    <t>Lunch 12:00-1:00</t>
  </si>
  <si>
    <t>7:00-4:00</t>
  </si>
  <si>
    <t>Lunch 11:00-12:00</t>
  </si>
  <si>
    <t>8:00-5:00</t>
  </si>
  <si>
    <t>10:00-6:00</t>
  </si>
  <si>
    <t>Lunch 12:30-1:30</t>
  </si>
  <si>
    <t>9:15-6:00</t>
  </si>
  <si>
    <t>Lunch 11:30-12:30</t>
  </si>
  <si>
    <t>6:45-3:45</t>
  </si>
  <si>
    <t>anthony.skinner@fib.com</t>
  </si>
  <si>
    <t>Y</t>
  </si>
  <si>
    <t>LEA</t>
  </si>
  <si>
    <t>ANTHONY</t>
  </si>
  <si>
    <t>JENNIFER</t>
  </si>
  <si>
    <t>JAMES</t>
  </si>
  <si>
    <t>FAY</t>
  </si>
  <si>
    <t>DEIDRE</t>
  </si>
  <si>
    <t>JODY</t>
  </si>
  <si>
    <t>4067992679</t>
  </si>
  <si>
    <t xml:space="preserve">Anthony </t>
  </si>
  <si>
    <t xml:space="preserve">Eliza </t>
  </si>
  <si>
    <t xml:space="preserve">Sara </t>
  </si>
  <si>
    <t xml:space="preserve">Ellyn </t>
  </si>
  <si>
    <t xml:space="preserve">James </t>
  </si>
  <si>
    <t xml:space="preserve">Jennifer </t>
  </si>
  <si>
    <t>Attending Special Events? (Y/N)</t>
  </si>
  <si>
    <t>8:45-12:15</t>
  </si>
  <si>
    <t>7:00-11:30</t>
  </si>
  <si>
    <t>SARA</t>
  </si>
  <si>
    <t>Off</t>
  </si>
  <si>
    <t>Kelsey</t>
  </si>
  <si>
    <t>Alex</t>
  </si>
  <si>
    <t>Megan</t>
  </si>
  <si>
    <t>James is shadowing on Tuesday @ West and Working Saturday</t>
  </si>
  <si>
    <t>Jess</t>
  </si>
  <si>
    <t>Happy Columbus Day! 10/8/18</t>
  </si>
  <si>
    <t>Eliza off at 5 on Wednesday</t>
  </si>
  <si>
    <t xml:space="preserve">  </t>
  </si>
  <si>
    <t>Payday</t>
  </si>
  <si>
    <t>Tabitha</t>
  </si>
  <si>
    <t>1:30-6:00</t>
  </si>
  <si>
    <t>8:00-12:00</t>
  </si>
  <si>
    <t xml:space="preserve">Jennifer Works Saturday </t>
  </si>
  <si>
    <t>Heather</t>
  </si>
  <si>
    <t>8:00-12:30</t>
  </si>
  <si>
    <t>Daylight savings ends this next Sunday! 10/4/18</t>
  </si>
  <si>
    <t>Brandon</t>
  </si>
  <si>
    <t>Samantha</t>
  </si>
  <si>
    <t>10:00-2:30</t>
  </si>
  <si>
    <t>6:45-4:00</t>
  </si>
  <si>
    <t>Anthony opens all this week</t>
  </si>
  <si>
    <t>Anthony opens Monday</t>
  </si>
  <si>
    <t>STAFF MEETING</t>
  </si>
  <si>
    <t>STAFF MEETING ON WEDNESDAY, DON'T FREAKIN' FORGET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</si>
</sst>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:ss\ AM/PM"/>
  </numFmts>
  <fonts count="26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48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8"/>
      <color theme="1"/>
      <name val="Aharoni"/>
      <charset val="177"/>
    </font>
    <font>
      <b/>
      <i/>
      <sz val="28"/>
      <color theme="1"/>
      <name val="Aharoni"/>
      <charset val="177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3"/>
      <name val="Calibri"/>
      <family val="2"/>
      <scheme val="minor"/>
    </font>
    <font>
      <b/>
      <sz val="30"/>
      <color rgb="FF000000"/>
      <name val="Calibri"/>
      <family val="2"/>
    </font>
    <font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30"/>
      <color theme="1"/>
      <name val="Aharoni"/>
      <charset val="177"/>
    </font>
    <font>
      <b/>
      <i/>
      <sz val="36"/>
      <color theme="1"/>
      <name val="Aharoni"/>
      <charset val="177"/>
    </font>
    <font>
      <b/>
      <sz val="11"/>
      <color rgb="FF282828"/>
      <name val="Arial"/>
      <family val="2"/>
    </font>
    <font>
      <b/>
      <sz val="22"/>
      <color theme="1"/>
      <name val="Aharoni"/>
      <charset val="177"/>
    </font>
    <font>
      <u/>
      <sz val="16"/>
      <color theme="10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Protection="1"/>
    <xf numFmtId="0" fontId="4" fillId="0" borderId="0" xfId="0" applyFont="1" applyProtection="1"/>
    <xf numFmtId="0" fontId="9" fillId="0" borderId="0" xfId="0" applyFont="1" applyProtection="1"/>
    <xf numFmtId="14" fontId="9" fillId="2" borderId="2" xfId="0" applyNumberFormat="1" applyFont="1" applyFill="1" applyBorder="1" applyAlignment="1" applyProtection="1">
      <alignment horizontal="center" vertical="center"/>
    </xf>
    <xf numFmtId="14" fontId="9" fillId="0" borderId="2" xfId="0" applyNumberFormat="1" applyFont="1" applyBorder="1" applyAlignment="1" applyProtection="1">
      <alignment horizontal="center" vertical="center"/>
    </xf>
    <xf numFmtId="0" fontId="5" fillId="0" borderId="0" xfId="0" applyFont="1" applyAlignment="1" applyProtection="1">
      <alignment vertical="center"/>
    </xf>
    <xf numFmtId="0" fontId="3" fillId="0" borderId="0" xfId="0" applyFont="1" applyProtection="1"/>
    <xf numFmtId="0" fontId="13" fillId="0" borderId="0" xfId="0" applyFont="1" applyAlignment="1" applyProtection="1">
      <alignment horizontal="right"/>
    </xf>
    <xf numFmtId="0" fontId="0" fillId="0" borderId="0" xfId="0" applyAlignment="1" applyProtection="1">
      <alignment vertical="center"/>
    </xf>
    <xf numFmtId="0" fontId="10" fillId="5" borderId="9" xfId="1" applyFont="1" applyFill="1" applyBorder="1" applyProtection="1">
      <protection locked="0"/>
    </xf>
    <xf numFmtId="0" fontId="10" fillId="0" borderId="8" xfId="2" applyFont="1" applyBorder="1" applyAlignment="1" applyProtection="1">
      <alignment horizontal="right"/>
    </xf>
    <xf numFmtId="14" fontId="3" fillId="5" borderId="9" xfId="0" applyNumberFormat="1" applyFont="1" applyFill="1" applyBorder="1" applyProtection="1">
      <protection locked="0"/>
    </xf>
    <xf numFmtId="0" fontId="12" fillId="4" borderId="8" xfId="0" applyFont="1" applyFill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Protection="1">
      <protection locked="0"/>
    </xf>
    <xf numFmtId="14" fontId="9" fillId="0" borderId="4" xfId="0" applyNumberFormat="1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12" fillId="7" borderId="8" xfId="0" applyFont="1" applyFill="1" applyBorder="1" applyAlignment="1" applyProtection="1">
      <alignment horizontal="center" vertical="center"/>
    </xf>
    <xf numFmtId="0" fontId="15" fillId="5" borderId="9" xfId="1" applyFont="1" applyFill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2" fontId="0" fillId="0" borderId="0" xfId="0" applyNumberFormat="1" applyProtection="1"/>
    <xf numFmtId="164" fontId="6" fillId="0" borderId="2" xfId="0" applyNumberFormat="1" applyFont="1" applyBorder="1" applyAlignment="1" applyProtection="1">
      <alignment horizontal="center" vertical="center"/>
      <protection locked="0"/>
    </xf>
    <xf numFmtId="2" fontId="6" fillId="0" borderId="2" xfId="0" applyNumberFormat="1" applyFont="1" applyBorder="1" applyAlignment="1" applyProtection="1">
      <alignment vertical="center"/>
    </xf>
    <xf numFmtId="0" fontId="17" fillId="0" borderId="0" xfId="0" applyFont="1" applyProtection="1"/>
    <xf numFmtId="0" fontId="6" fillId="0" borderId="0" xfId="0" applyFont="1" applyBorder="1" applyAlignment="1" applyProtection="1">
      <alignment horizontal="center" vertical="center"/>
      <protection locked="0"/>
    </xf>
    <xf numFmtId="20" fontId="6" fillId="0" borderId="2" xfId="0" applyNumberFormat="1" applyFont="1" applyBorder="1" applyAlignment="1" applyProtection="1">
      <alignment horizontal="center" vertical="center"/>
      <protection locked="0"/>
    </xf>
    <xf numFmtId="0" fontId="8" fillId="0" borderId="2" xfId="1" applyFont="1" applyBorder="1" applyAlignment="1" applyProtection="1">
      <alignment vertical="center"/>
    </xf>
    <xf numFmtId="0" fontId="19" fillId="3" borderId="2" xfId="0" applyFont="1" applyFill="1" applyBorder="1" applyAlignment="1" applyProtection="1">
      <alignment wrapText="1"/>
    </xf>
    <xf numFmtId="0" fontId="6" fillId="0" borderId="0" xfId="0" applyFont="1" applyBorder="1" applyAlignment="1" applyProtection="1">
      <alignment horizontal="center" vertical="center"/>
    </xf>
    <xf numFmtId="0" fontId="21" fillId="0" borderId="0" xfId="0" applyFont="1"/>
    <xf numFmtId="0" fontId="5" fillId="0" borderId="5" xfId="0" applyFont="1" applyBorder="1" applyAlignment="1" applyProtection="1">
      <alignment horizontal="center" wrapText="1"/>
    </xf>
    <xf numFmtId="0" fontId="5" fillId="0" borderId="7" xfId="0" applyFont="1" applyBorder="1" applyAlignment="1" applyProtection="1">
      <alignment horizontal="center" wrapText="1"/>
    </xf>
    <xf numFmtId="0" fontId="5" fillId="0" borderId="6" xfId="0" applyFont="1" applyBorder="1" applyAlignment="1" applyProtection="1">
      <alignment horizontal="center" wrapText="1"/>
    </xf>
    <xf numFmtId="0" fontId="7" fillId="0" borderId="6" xfId="0" applyFont="1" applyBorder="1" applyAlignment="1" applyProtection="1">
      <alignment horizontal="center" vertical="center"/>
    </xf>
    <xf numFmtId="0" fontId="22" fillId="4" borderId="5" xfId="0" applyFont="1" applyFill="1" applyBorder="1" applyAlignment="1" applyProtection="1">
      <alignment horizontal="center" vertical="center" wrapText="1"/>
    </xf>
    <xf numFmtId="0" fontId="6" fillId="0" borderId="5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 vertical="center"/>
    </xf>
    <xf numFmtId="0" fontId="6" fillId="0" borderId="5" xfId="0" applyNumberFormat="1" applyFont="1" applyBorder="1" applyAlignment="1" applyProtection="1">
      <alignment horizontal="center" vertical="center"/>
    </xf>
    <xf numFmtId="0" fontId="6" fillId="0" borderId="6" xfId="0" applyNumberFormat="1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wrapText="1"/>
    </xf>
    <xf numFmtId="0" fontId="8" fillId="0" borderId="4" xfId="1" applyFont="1" applyBorder="1" applyAlignment="1" applyProtection="1">
      <alignment horizontal="center" vertical="center"/>
    </xf>
    <xf numFmtId="0" fontId="8" fillId="0" borderId="10" xfId="1" applyFont="1" applyBorder="1" applyAlignment="1" applyProtection="1">
      <alignment horizontal="center" vertical="center"/>
    </xf>
    <xf numFmtId="0" fontId="8" fillId="0" borderId="3" xfId="1" applyFont="1" applyBorder="1" applyAlignment="1" applyProtection="1">
      <alignment horizontal="center" vertical="center"/>
    </xf>
    <xf numFmtId="2" fontId="7" fillId="0" borderId="5" xfId="0" applyNumberFormat="1" applyFont="1" applyBorder="1" applyAlignment="1" applyProtection="1">
      <alignment horizontal="center" vertical="center" wrapText="1"/>
    </xf>
    <xf numFmtId="2" fontId="7" fillId="0" borderId="6" xfId="0" applyNumberFormat="1" applyFont="1" applyBorder="1" applyAlignment="1" applyProtection="1">
      <alignment horizontal="center" vertical="center" wrapText="1"/>
    </xf>
    <xf numFmtId="0" fontId="18" fillId="0" borderId="5" xfId="0" applyFont="1" applyBorder="1" applyAlignment="1" applyProtection="1">
      <alignment horizontal="center" vertical="center" wrapText="1"/>
    </xf>
    <xf numFmtId="0" fontId="18" fillId="0" borderId="6" xfId="0" applyFont="1" applyBorder="1" applyAlignment="1" applyProtection="1">
      <alignment horizontal="center" vertical="center" wrapText="1"/>
    </xf>
    <xf numFmtId="0" fontId="5" fillId="0" borderId="5" xfId="0" applyFont="1" applyBorder="1" applyAlignment="1" applyProtection="1">
      <alignment horizontal="center" wrapText="1"/>
    </xf>
    <xf numFmtId="0" fontId="5" fillId="0" borderId="7" xfId="0" applyFont="1" applyBorder="1" applyAlignment="1" applyProtection="1">
      <alignment horizontal="center" wrapText="1"/>
    </xf>
    <xf numFmtId="0" fontId="5" fillId="0" borderId="6" xfId="0" applyFont="1" applyBorder="1" applyAlignment="1" applyProtection="1">
      <alignment horizontal="center" wrapText="1"/>
    </xf>
    <xf numFmtId="0" fontId="19" fillId="6" borderId="5" xfId="0" applyFont="1" applyFill="1" applyBorder="1" applyAlignment="1" applyProtection="1">
      <alignment horizontal="center" vertical="center"/>
    </xf>
    <xf numFmtId="0" fontId="19" fillId="6" borderId="6" xfId="0" applyFont="1" applyFill="1" applyBorder="1" applyAlignment="1" applyProtection="1">
      <alignment horizontal="center" vertical="center"/>
    </xf>
    <xf numFmtId="0" fontId="8" fillId="0" borderId="2" xfId="1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49" fontId="10" fillId="5" borderId="9" xfId="1" applyNumberFormat="1" applyFont="1" applyFill="1" applyBorder="1" applyProtection="1">
      <protection locked="0"/>
    </xf>
    <xf numFmtId="0" fontId="23" fillId="5" borderId="9" xfId="3" applyFont="1" applyFill="1" applyBorder="1" applyProtection="1">
      <protection locked="0"/>
    </xf>
    <xf numFmtId="0" fontId="25" fillId="5" borderId="9" xfId="1" applyFont="1" applyFill="1" applyBorder="1" applyProtection="1">
      <protection locked="0"/>
    </xf>
    <xf numFmtId="0" fontId="10" fillId="0" borderId="8" xfId="2" applyFont="1" applyBorder="1" applyAlignment="1" applyProtection="1">
      <alignment horizontal="right" wrapText="1"/>
    </xf>
    <xf numFmtId="0" fontId="5" fillId="0" borderId="0" xfId="0" applyFon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2" fontId="0" fillId="0" borderId="0" xfId="0" applyNumberFormat="1" applyAlignment="1" applyProtection="1">
      <alignment wrapText="1"/>
    </xf>
    <xf numFmtId="0" fontId="0" fillId="0" borderId="0" xfId="0" applyAlignment="1" applyProtection="1">
      <alignment wrapText="1"/>
    </xf>
    <xf numFmtId="0" fontId="11" fillId="4" borderId="6" xfId="0" applyFont="1" applyFill="1" applyBorder="1" applyAlignment="1" applyProtection="1">
      <alignment horizontal="center" wrapText="1"/>
    </xf>
    <xf numFmtId="14" fontId="3" fillId="5" borderId="9" xfId="0" applyNumberFormat="1" applyFont="1" applyFill="1" applyBorder="1" applyAlignment="1" applyProtection="1">
      <alignment wrapText="1"/>
      <protection locked="0"/>
    </xf>
    <xf numFmtId="0" fontId="24" fillId="5" borderId="9" xfId="3" applyFont="1" applyFill="1" applyBorder="1" applyAlignment="1" applyProtection="1">
      <alignment wrapText="1"/>
      <protection locked="0"/>
    </xf>
    <xf numFmtId="0" fontId="4" fillId="0" borderId="0" xfId="0" applyFont="1" applyAlignment="1" applyProtection="1">
      <alignment wrapText="1"/>
    </xf>
    <xf numFmtId="0" fontId="17" fillId="0" borderId="0" xfId="0" applyFont="1" applyAlignment="1" applyProtection="1">
      <alignment wrapText="1"/>
    </xf>
    <xf numFmtId="0" fontId="6" fillId="0" borderId="0" xfId="0" applyFont="1" applyBorder="1" applyAlignment="1" applyProtection="1">
      <alignment horizontal="center" vertical="center" wrapText="1"/>
    </xf>
  </cellXfs>
  <cellStyles count="4">
    <cellStyle name="Heading 1" xfId="1" builtinId="16"/>
    <cellStyle name="Heading 4" xfId="2" builtinId="19"/>
    <cellStyle name="Hyperlink" xfId="3" builtinId="8"/>
    <cellStyle name="Normal" xfId="0" builtinId="0"/>
  </cellStyles>
  <dxfs count="694"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indexed="44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indexed="44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1381125</xdr:colOff>
          <xdr:row>6</xdr:row>
          <xdr:rowOff>257175</xdr:rowOff>
        </xdr:from>
        <xdr:to>
          <xdr:col>9</xdr:col>
          <xdr:colOff>304800</xdr:colOff>
          <xdr:row>7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1409700</xdr:colOff>
          <xdr:row>4</xdr:row>
          <xdr:rowOff>200025</xdr:rowOff>
        </xdr:from>
        <xdr:to>
          <xdr:col>9</xdr:col>
          <xdr:colOff>323850</xdr:colOff>
          <xdr:row>5</xdr:row>
          <xdr:rowOff>523875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</xdr:row>
          <xdr:rowOff>257175</xdr:rowOff>
        </xdr:from>
        <xdr:to>
          <xdr:col>4</xdr:col>
          <xdr:colOff>1428750</xdr:colOff>
          <xdr:row>7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200025</xdr:rowOff>
        </xdr:from>
        <xdr:to>
          <xdr:col>4</xdr:col>
          <xdr:colOff>1409700</xdr:colOff>
          <xdr:row>5</xdr:row>
          <xdr:rowOff>504825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590550</xdr:rowOff>
        </xdr:from>
        <xdr:to>
          <xdr:col>4</xdr:col>
          <xdr:colOff>1428750</xdr:colOff>
          <xdr:row>9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1343025</xdr:colOff>
          <xdr:row>8</xdr:row>
          <xdr:rowOff>47625</xdr:rowOff>
        </xdr:from>
        <xdr:to>
          <xdr:col>9</xdr:col>
          <xdr:colOff>257175</xdr:colOff>
          <xdr:row>9</xdr:row>
          <xdr:rowOff>428625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144" name="cmb1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19050</xdr:rowOff>
        </xdr:to>
        <xdr:sp macro="" textlink="">
          <xdr:nvSpPr>
            <xdr:cNvPr id="1145" name="cmb2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19050</xdr:rowOff>
        </xdr:to>
        <xdr:sp macro="" textlink="">
          <xdr:nvSpPr>
            <xdr:cNvPr id="1146" name="cmb3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19050</xdr:rowOff>
        </xdr:to>
        <xdr:sp macro="" textlink="">
          <xdr:nvSpPr>
            <xdr:cNvPr id="1147" name="cmb4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9</xdr:row>
          <xdr:rowOff>0</xdr:rowOff>
        </xdr:from>
        <xdr:to>
          <xdr:col>21</xdr:col>
          <xdr:colOff>0</xdr:colOff>
          <xdr:row>10</xdr:row>
          <xdr:rowOff>19050</xdr:rowOff>
        </xdr:to>
        <xdr:sp macro="" textlink="">
          <xdr:nvSpPr>
            <xdr:cNvPr id="1148" name="cmb5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</xdr:row>
          <xdr:rowOff>0</xdr:rowOff>
        </xdr:from>
        <xdr:to>
          <xdr:col>22</xdr:col>
          <xdr:colOff>0</xdr:colOff>
          <xdr:row>10</xdr:row>
          <xdr:rowOff>19050</xdr:rowOff>
        </xdr:to>
        <xdr:sp macro="" textlink="">
          <xdr:nvSpPr>
            <xdr:cNvPr id="1149" name="cmb6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26" Type="http://schemas.openxmlformats.org/officeDocument/2006/relationships/ctrlProp" Target="../ctrlProps/ctrlProp5.xml"/><Relationship Id="rId3" Type="http://schemas.openxmlformats.org/officeDocument/2006/relationships/hyperlink" Target="mailto:sara.marshall@fib.com" TargetMode="External"/><Relationship Id="rId21" Type="http://schemas.openxmlformats.org/officeDocument/2006/relationships/image" Target="../media/image6.emf"/><Relationship Id="rId7" Type="http://schemas.openxmlformats.org/officeDocument/2006/relationships/printerSettings" Target="../printerSettings/printerSettings1.bin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5" Type="http://schemas.openxmlformats.org/officeDocument/2006/relationships/ctrlProp" Target="../ctrlProps/ctrlProp4.xml"/><Relationship Id="rId2" Type="http://schemas.openxmlformats.org/officeDocument/2006/relationships/hyperlink" Target="mailto:eliza.kleinsasser@fib.com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mailto:anthony.skinner@fib.com" TargetMode="External"/><Relationship Id="rId6" Type="http://schemas.openxmlformats.org/officeDocument/2006/relationships/hyperlink" Target="mailto:jennifer.james@fib.com" TargetMode="External"/><Relationship Id="rId11" Type="http://schemas.openxmlformats.org/officeDocument/2006/relationships/image" Target="../media/image1.emf"/><Relationship Id="rId24" Type="http://schemas.openxmlformats.org/officeDocument/2006/relationships/ctrlProp" Target="../ctrlProps/ctrlProp3.xml"/><Relationship Id="rId5" Type="http://schemas.openxmlformats.org/officeDocument/2006/relationships/hyperlink" Target="mailto:james.alderson@fib.com" TargetMode="External"/><Relationship Id="rId15" Type="http://schemas.openxmlformats.org/officeDocument/2006/relationships/image" Target="../media/image3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mailto:ellyn.livings@fib.com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X196"/>
  <sheetViews>
    <sheetView tabSelected="1" topLeftCell="A4" zoomScale="40" zoomScaleNormal="40" zoomScalePageLayoutView="55" workbookViewId="0">
      <selection activeCell="Q10" sqref="Q10"/>
    </sheetView>
  </sheetViews>
  <sheetFormatPr defaultRowHeight="26.25"/>
  <cols>
    <col min="1" max="1" width="9.140625" style="1"/>
    <col min="2" max="2" width="29.42578125" style="6" bestFit="1" customWidth="1"/>
    <col min="3" max="4" width="22.7109375" style="9" bestFit="1" customWidth="1"/>
    <col min="5" max="5" width="26.28515625" style="9" bestFit="1" customWidth="1"/>
    <col min="6" max="7" width="22.7109375" style="9" bestFit="1" customWidth="1"/>
    <col min="8" max="8" width="20.5703125" style="9" bestFit="1" customWidth="1"/>
    <col min="9" max="9" width="14.140625" style="22" bestFit="1" customWidth="1"/>
    <col min="10" max="10" width="27.28515625" style="1" bestFit="1" customWidth="1"/>
    <col min="11" max="11" width="50.85546875" style="1" customWidth="1"/>
    <col min="12" max="12" width="53" style="1" bestFit="1" customWidth="1"/>
    <col min="13" max="13" width="11" style="1" customWidth="1"/>
    <col min="14" max="14" width="22.7109375" style="1" hidden="1" customWidth="1"/>
    <col min="15" max="15" width="9.140625" style="1"/>
    <col min="16" max="16" width="70.5703125" style="1" bestFit="1" customWidth="1"/>
    <col min="17" max="17" width="42" style="1" bestFit="1" customWidth="1"/>
    <col min="18" max="18" width="42.7109375" style="1" bestFit="1" customWidth="1"/>
    <col min="19" max="19" width="38" style="1" bestFit="1" customWidth="1"/>
    <col min="20" max="20" width="34.85546875" style="1" bestFit="1" customWidth="1"/>
    <col min="21" max="21" width="41.28515625" style="1" bestFit="1" customWidth="1"/>
    <col min="22" max="22" width="39.140625" style="1" bestFit="1" customWidth="1"/>
    <col min="23" max="23" width="12.7109375" style="1" bestFit="1" customWidth="1"/>
    <col min="24" max="24" width="9.42578125" style="1" bestFit="1" customWidth="1"/>
    <col min="25" max="27" width="9.140625" style="1" customWidth="1"/>
    <col min="28" max="28" width="22.7109375" style="1" customWidth="1"/>
    <col min="29" max="33" width="9.140625" style="1" customWidth="1"/>
    <col min="34" max="16384" width="9.140625" style="1"/>
  </cols>
  <sheetData>
    <row r="1" spans="2:44" ht="29.25" hidden="1" customHeight="1" thickBot="1">
      <c r="B1" s="37"/>
      <c r="C1" s="14"/>
      <c r="D1" s="14"/>
      <c r="E1" s="14"/>
      <c r="F1" s="14"/>
      <c r="G1" s="14"/>
      <c r="H1" s="14"/>
      <c r="I1" s="39"/>
    </row>
    <row r="2" spans="2:44" ht="27" hidden="1" customHeight="1" thickBot="1">
      <c r="B2" s="38"/>
      <c r="C2" s="15"/>
      <c r="D2" s="15"/>
      <c r="E2" s="15"/>
      <c r="F2" s="15"/>
      <c r="G2" s="15"/>
      <c r="H2" s="15"/>
      <c r="I2" s="40"/>
    </row>
    <row r="3" spans="2:44" ht="47.25" hidden="1" thickBot="1">
      <c r="B3" s="41"/>
      <c r="C3" s="42"/>
      <c r="D3" s="42"/>
      <c r="E3" s="42"/>
      <c r="F3" s="42"/>
      <c r="G3" s="42"/>
      <c r="H3" s="42"/>
      <c r="I3" s="43"/>
      <c r="Q3" s="25"/>
    </row>
    <row r="4" spans="2:44" ht="46.5">
      <c r="Q4" s="25"/>
      <c r="R4" s="30"/>
      <c r="S4" s="26"/>
      <c r="T4" s="26"/>
      <c r="U4" s="26"/>
      <c r="V4" s="26"/>
      <c r="W4" s="26"/>
      <c r="X4" s="26"/>
      <c r="Y4" s="26"/>
    </row>
    <row r="5" spans="2:44" ht="61.5">
      <c r="P5" s="19" t="s">
        <v>13</v>
      </c>
      <c r="Q5" s="20">
        <v>6</v>
      </c>
      <c r="R5" s="30"/>
      <c r="S5" s="30"/>
      <c r="T5" s="30"/>
    </row>
    <row r="6" spans="2:44" ht="47.25" thickBot="1">
      <c r="K6" s="7"/>
      <c r="L6" s="8" t="s">
        <v>10</v>
      </c>
      <c r="V6" s="25"/>
      <c r="W6" s="30"/>
      <c r="X6" s="30"/>
      <c r="Y6" s="30"/>
      <c r="AA6" s="30"/>
      <c r="AB6" s="30"/>
      <c r="AC6" s="30"/>
      <c r="AD6" s="30"/>
      <c r="AE6" s="30"/>
    </row>
    <row r="7" spans="2:44" ht="75.75" thickBot="1">
      <c r="K7" s="29" t="s">
        <v>14</v>
      </c>
      <c r="L7" s="12">
        <v>43374</v>
      </c>
      <c r="N7" s="10"/>
      <c r="P7" s="13" t="s">
        <v>6</v>
      </c>
      <c r="Q7" s="10" t="s">
        <v>51</v>
      </c>
      <c r="R7" s="10" t="s">
        <v>52</v>
      </c>
      <c r="S7" s="10" t="s">
        <v>53</v>
      </c>
      <c r="T7" s="10" t="s">
        <v>54</v>
      </c>
      <c r="U7" s="10" t="s">
        <v>55</v>
      </c>
      <c r="V7" s="10" t="s">
        <v>56</v>
      </c>
      <c r="X7" s="30"/>
      <c r="Y7" s="30"/>
      <c r="AA7" s="30"/>
      <c r="AB7" s="30"/>
      <c r="AC7" s="30"/>
      <c r="AD7" s="30"/>
      <c r="AE7" s="30"/>
      <c r="AF7" s="30"/>
      <c r="AG7" s="30"/>
    </row>
    <row r="8" spans="2:44" ht="28.5">
      <c r="N8" s="66"/>
      <c r="P8" s="11" t="s">
        <v>9</v>
      </c>
      <c r="Q8" s="65" t="s">
        <v>41</v>
      </c>
      <c r="R8" s="65" t="s">
        <v>21</v>
      </c>
      <c r="S8" s="65" t="s">
        <v>22</v>
      </c>
      <c r="T8" s="65" t="s">
        <v>23</v>
      </c>
      <c r="U8" s="65" t="s">
        <v>24</v>
      </c>
      <c r="V8" s="65" t="s">
        <v>25</v>
      </c>
      <c r="X8" s="30"/>
      <c r="Y8" s="30"/>
    </row>
    <row r="9" spans="2:44" ht="46.5" customHeight="1" thickBot="1">
      <c r="N9" s="64"/>
      <c r="P9" s="11" t="s">
        <v>17</v>
      </c>
      <c r="Q9" s="64" t="s">
        <v>50</v>
      </c>
      <c r="R9" s="64">
        <v>4065812091</v>
      </c>
      <c r="S9" s="64">
        <v>7753041347</v>
      </c>
      <c r="T9" s="64">
        <v>3342204797</v>
      </c>
      <c r="U9" s="64">
        <v>4065700115</v>
      </c>
      <c r="V9" s="64">
        <v>4062539412</v>
      </c>
      <c r="X9" s="63"/>
      <c r="Y9" s="63"/>
      <c r="Z9" s="63"/>
      <c r="AA9" s="63"/>
      <c r="AB9" s="25"/>
      <c r="AC9" s="30"/>
      <c r="AD9" s="30"/>
      <c r="AE9" s="30"/>
      <c r="AF9" s="30"/>
      <c r="AG9" s="30"/>
      <c r="AH9" s="30"/>
      <c r="AI9" s="30"/>
      <c r="AJ9" s="30"/>
    </row>
    <row r="10" spans="2:44" ht="48" customHeight="1">
      <c r="K10" s="36" t="s">
        <v>26</v>
      </c>
      <c r="L10" s="7"/>
      <c r="N10" s="10"/>
      <c r="P10" s="11" t="s">
        <v>18</v>
      </c>
      <c r="Q10" s="10"/>
      <c r="R10" s="10"/>
      <c r="S10" s="10"/>
      <c r="T10" s="10"/>
      <c r="U10" s="10"/>
      <c r="V10" s="10"/>
      <c r="AJ10" s="25"/>
      <c r="AK10" s="30"/>
      <c r="AL10" s="30"/>
      <c r="AM10" s="30"/>
      <c r="AN10" s="30"/>
      <c r="AO10" s="30"/>
      <c r="AP10" s="30"/>
      <c r="AQ10" s="30"/>
      <c r="AR10" s="30"/>
    </row>
    <row r="11" spans="2:44" s="71" customFormat="1" ht="64.5" customHeight="1" thickBot="1">
      <c r="B11" s="68"/>
      <c r="C11" s="69"/>
      <c r="D11" s="69"/>
      <c r="E11" s="69"/>
      <c r="F11" s="69"/>
      <c r="G11" s="69"/>
      <c r="H11" s="69"/>
      <c r="I11" s="70"/>
      <c r="K11" s="72" t="s">
        <v>27</v>
      </c>
      <c r="L11" s="73">
        <v>43300</v>
      </c>
      <c r="N11" s="74"/>
      <c r="P11" s="67" t="s">
        <v>57</v>
      </c>
      <c r="Q11" s="74"/>
      <c r="R11" s="74" t="s">
        <v>42</v>
      </c>
      <c r="S11" s="74"/>
      <c r="T11" s="74"/>
      <c r="U11" s="74"/>
      <c r="V11" s="74"/>
      <c r="W11" s="75"/>
      <c r="X11" s="75"/>
      <c r="Y11" s="75"/>
      <c r="Z11" s="75"/>
      <c r="AA11" s="75"/>
      <c r="AB11" s="75"/>
      <c r="AC11" s="75"/>
      <c r="AD11" s="76"/>
      <c r="AE11" s="77"/>
      <c r="AF11" s="77"/>
      <c r="AG11" s="77"/>
      <c r="AH11" s="77"/>
      <c r="AI11" s="77"/>
      <c r="AJ11" s="77"/>
      <c r="AK11" s="77"/>
      <c r="AL11" s="77"/>
    </row>
    <row r="12" spans="2:44" ht="47.25" thickBot="1">
      <c r="K12" s="7"/>
      <c r="L12" s="16">
        <v>43355</v>
      </c>
      <c r="R12" s="3"/>
      <c r="S12" s="3"/>
      <c r="T12" s="3"/>
      <c r="U12" s="3"/>
      <c r="V12" s="3"/>
      <c r="W12" s="3"/>
      <c r="X12" s="3"/>
      <c r="Y12" s="3"/>
      <c r="Z12" s="25"/>
      <c r="AA12" s="30"/>
      <c r="AB12" s="30"/>
      <c r="AC12" s="30"/>
      <c r="AD12" s="30"/>
      <c r="AE12" s="30"/>
      <c r="AF12" s="30"/>
      <c r="AG12" s="30"/>
      <c r="AH12" s="30"/>
    </row>
    <row r="13" spans="2:44" ht="62.25" thickBot="1">
      <c r="B13" s="47"/>
      <c r="C13" s="60" t="str">
        <f>TEXT(E15,"mmmm")</f>
        <v>October</v>
      </c>
      <c r="D13" s="60"/>
      <c r="E13" s="60"/>
      <c r="F13" s="60"/>
      <c r="G13" s="60"/>
      <c r="H13" s="60"/>
      <c r="I13" s="60"/>
      <c r="K13" s="7"/>
      <c r="L13" s="16">
        <v>43369</v>
      </c>
      <c r="N13" s="31"/>
      <c r="P13" s="47"/>
      <c r="Q13" s="48" t="s">
        <v>16</v>
      </c>
      <c r="R13" s="49"/>
      <c r="S13" s="49"/>
      <c r="T13" s="49"/>
      <c r="U13" s="49"/>
      <c r="V13" s="50"/>
      <c r="W13" s="28"/>
      <c r="AF13" s="7"/>
      <c r="AG13" s="7"/>
      <c r="AH13" s="7"/>
      <c r="AI13" s="7"/>
      <c r="AJ13" s="3"/>
      <c r="AK13" s="3"/>
    </row>
    <row r="14" spans="2:44" s="2" customFormat="1" ht="32.25" thickBot="1">
      <c r="B14" s="47"/>
      <c r="C14" s="18" t="s">
        <v>0</v>
      </c>
      <c r="D14" s="18" t="s">
        <v>1</v>
      </c>
      <c r="E14" s="18" t="s">
        <v>2</v>
      </c>
      <c r="F14" s="18" t="s">
        <v>3</v>
      </c>
      <c r="G14" s="18" t="s">
        <v>4</v>
      </c>
      <c r="H14" s="18" t="s">
        <v>5</v>
      </c>
      <c r="I14" s="51" t="s">
        <v>8</v>
      </c>
      <c r="K14" s="7"/>
      <c r="L14" s="16">
        <v>43383</v>
      </c>
      <c r="N14" s="31"/>
      <c r="P14" s="47"/>
      <c r="Q14" s="61" t="s">
        <v>0</v>
      </c>
      <c r="R14" s="61" t="s">
        <v>1</v>
      </c>
      <c r="S14" s="61" t="s">
        <v>2</v>
      </c>
      <c r="T14" s="61" t="s">
        <v>3</v>
      </c>
      <c r="U14" s="61" t="s">
        <v>4</v>
      </c>
      <c r="V14" s="61" t="s">
        <v>5</v>
      </c>
      <c r="W14" s="51" t="s">
        <v>8</v>
      </c>
      <c r="X14" s="7"/>
      <c r="Y14" s="7"/>
      <c r="Z14" s="7"/>
      <c r="AA14" s="3"/>
      <c r="AB14" s="3"/>
      <c r="AC14" s="1"/>
      <c r="AD14" s="1"/>
      <c r="AE14" s="1"/>
      <c r="AF14" s="1"/>
    </row>
    <row r="15" spans="2:44" s="3" customFormat="1" ht="27" thickBot="1">
      <c r="B15" s="47"/>
      <c r="C15" s="4">
        <f>L7</f>
        <v>43374</v>
      </c>
      <c r="D15" s="4">
        <f>C15+1</f>
        <v>43375</v>
      </c>
      <c r="E15" s="4">
        <f t="shared" ref="E15:H15" si="0">D15+1</f>
        <v>43376</v>
      </c>
      <c r="F15" s="4">
        <f t="shared" si="0"/>
        <v>43377</v>
      </c>
      <c r="G15" s="4">
        <f t="shared" si="0"/>
        <v>43378</v>
      </c>
      <c r="H15" s="4">
        <f t="shared" si="0"/>
        <v>43379</v>
      </c>
      <c r="I15" s="52"/>
      <c r="J15" s="2"/>
      <c r="K15" s="7"/>
      <c r="L15" s="16">
        <v>43397</v>
      </c>
      <c r="N15" s="31"/>
      <c r="P15" s="47"/>
      <c r="Q15" s="62"/>
      <c r="R15" s="62"/>
      <c r="S15" s="62"/>
      <c r="T15" s="62"/>
      <c r="U15" s="62"/>
      <c r="V15" s="62"/>
      <c r="W15" s="52"/>
      <c r="X15" s="1"/>
      <c r="Y15" s="1"/>
      <c r="Z15" s="1"/>
    </row>
    <row r="16" spans="2:44" ht="29.25" thickBot="1">
      <c r="B16" s="37" t="str">
        <f>Q7</f>
        <v xml:space="preserve">Anthony </v>
      </c>
      <c r="C16" s="14" t="s">
        <v>30</v>
      </c>
      <c r="D16" s="14" t="s">
        <v>30</v>
      </c>
      <c r="E16" s="14" t="s">
        <v>30</v>
      </c>
      <c r="F16" s="14" t="s">
        <v>30</v>
      </c>
      <c r="G16" s="14" t="s">
        <v>30</v>
      </c>
      <c r="H16" s="14" t="s">
        <v>64</v>
      </c>
      <c r="I16" s="39" t="str">
        <f t="shared" ref="I16" si="1">checkHours.checkHours(C16:H16, C17:H17)</f>
        <v>40:00</v>
      </c>
      <c r="J16" s="2"/>
      <c r="K16" s="7"/>
      <c r="L16" s="16">
        <v>43411</v>
      </c>
      <c r="N16" s="31"/>
      <c r="P16" s="37" t="str">
        <f>Q7</f>
        <v xml:space="preserve">Anthony </v>
      </c>
      <c r="Q16" s="14" t="s">
        <v>30</v>
      </c>
      <c r="R16" s="14" t="s">
        <v>30</v>
      </c>
      <c r="S16" s="14" t="s">
        <v>30</v>
      </c>
      <c r="T16" s="14" t="s">
        <v>30</v>
      </c>
      <c r="U16" s="14" t="s">
        <v>30</v>
      </c>
      <c r="V16" s="14"/>
      <c r="W16" s="39" t="str">
        <f>checkHours.checkHours(Q16:V16, Q17:V17)</f>
        <v>40:00</v>
      </c>
    </row>
    <row r="17" spans="2:50" s="3" customFormat="1" ht="27" thickBot="1">
      <c r="B17" s="38"/>
      <c r="C17" s="15" t="s">
        <v>31</v>
      </c>
      <c r="D17" s="15" t="s">
        <v>31</v>
      </c>
      <c r="E17" s="15" t="s">
        <v>31</v>
      </c>
      <c r="F17" s="15" t="s">
        <v>31</v>
      </c>
      <c r="G17" s="15" t="s">
        <v>31</v>
      </c>
      <c r="H17" s="15"/>
      <c r="I17" s="40"/>
      <c r="J17" s="2"/>
      <c r="K17" s="7"/>
      <c r="L17" s="16">
        <v>43425</v>
      </c>
      <c r="N17" s="31"/>
      <c r="P17" s="38"/>
      <c r="Q17" s="15" t="s">
        <v>31</v>
      </c>
      <c r="R17" s="15" t="s">
        <v>31</v>
      </c>
      <c r="S17" s="15" t="s">
        <v>31</v>
      </c>
      <c r="T17" s="15" t="s">
        <v>31</v>
      </c>
      <c r="U17" s="15" t="s">
        <v>31</v>
      </c>
      <c r="V17" s="15"/>
      <c r="W17" s="40"/>
      <c r="X17" s="2"/>
      <c r="Y17" s="2"/>
      <c r="Z17" s="2"/>
      <c r="AA17" s="1"/>
      <c r="AB17" s="6"/>
      <c r="AC17" s="9"/>
      <c r="AD17" s="9"/>
      <c r="AE17" s="9"/>
      <c r="AF17" s="9"/>
      <c r="AG17" s="9"/>
      <c r="AH17" s="9"/>
      <c r="AI17" s="1"/>
    </row>
    <row r="18" spans="2:50" ht="29.25" thickBot="1">
      <c r="B18" s="41"/>
      <c r="C18" s="42"/>
      <c r="D18" s="42"/>
      <c r="E18" s="42"/>
      <c r="F18" s="42"/>
      <c r="G18" s="42"/>
      <c r="H18" s="42"/>
      <c r="I18" s="43"/>
      <c r="J18" s="2"/>
      <c r="K18" s="7"/>
      <c r="L18" s="16">
        <v>43439</v>
      </c>
      <c r="N18" s="31"/>
      <c r="P18" s="41"/>
      <c r="Q18" s="42"/>
      <c r="R18" s="42"/>
      <c r="S18" s="42"/>
      <c r="T18" s="42"/>
      <c r="U18" s="42"/>
      <c r="V18" s="42"/>
      <c r="W18" s="43"/>
      <c r="X18" s="7"/>
      <c r="Y18" s="7"/>
      <c r="Z18" s="7"/>
      <c r="AA18" s="3"/>
      <c r="AB18" s="3"/>
      <c r="AE18" s="3"/>
      <c r="AF18" s="3"/>
      <c r="AG18" s="3"/>
      <c r="AH18" s="3"/>
      <c r="AI18" s="3"/>
      <c r="AJ18" s="3"/>
      <c r="AQ18" s="3"/>
      <c r="AR18" s="3"/>
      <c r="AS18" s="3"/>
    </row>
    <row r="19" spans="2:50" s="3" customFormat="1" ht="29.25" thickBot="1">
      <c r="B19" s="37" t="str">
        <f>R7</f>
        <v xml:space="preserve">Eliza </v>
      </c>
      <c r="C19" s="14" t="s">
        <v>28</v>
      </c>
      <c r="D19" s="14" t="s">
        <v>36</v>
      </c>
      <c r="E19" s="14" t="s">
        <v>28</v>
      </c>
      <c r="F19" s="14" t="s">
        <v>38</v>
      </c>
      <c r="G19" s="14" t="s">
        <v>28</v>
      </c>
      <c r="H19" s="14"/>
      <c r="I19" s="39" t="str">
        <f t="shared" ref="I19" si="2">checkHours.checkHours(C19:H19, C20:H20)</f>
        <v>39:30</v>
      </c>
      <c r="J19" s="2"/>
      <c r="K19" s="7"/>
      <c r="L19" s="16">
        <v>43453</v>
      </c>
      <c r="N19" s="31"/>
      <c r="P19" s="37" t="str">
        <f>R7</f>
        <v xml:space="preserve">Eliza </v>
      </c>
      <c r="Q19" s="14" t="s">
        <v>28</v>
      </c>
      <c r="R19" s="14" t="s">
        <v>36</v>
      </c>
      <c r="S19" s="14" t="s">
        <v>28</v>
      </c>
      <c r="T19" s="14" t="s">
        <v>38</v>
      </c>
      <c r="U19" s="14" t="s">
        <v>28</v>
      </c>
      <c r="V19" s="14"/>
      <c r="W19" s="39" t="str">
        <f>checkHours.checkHours(Q19:V19, Q20:V20)</f>
        <v>39:30</v>
      </c>
      <c r="X19" s="7"/>
      <c r="AB19" s="1"/>
      <c r="AC19" s="1"/>
      <c r="AD19" s="1"/>
      <c r="AE19" s="1"/>
      <c r="AF19" s="1"/>
      <c r="AG19" s="1"/>
      <c r="AH19" s="1"/>
      <c r="AN19" s="1"/>
      <c r="AO19" s="1"/>
      <c r="AP19" s="1"/>
    </row>
    <row r="20" spans="2:50" ht="27" thickBot="1">
      <c r="B20" s="38"/>
      <c r="C20" s="15" t="s">
        <v>29</v>
      </c>
      <c r="D20" s="15" t="s">
        <v>29</v>
      </c>
      <c r="E20" s="15" t="s">
        <v>29</v>
      </c>
      <c r="F20" s="15" t="s">
        <v>29</v>
      </c>
      <c r="G20" s="15" t="s">
        <v>29</v>
      </c>
      <c r="H20" s="15"/>
      <c r="I20" s="40"/>
      <c r="J20" s="2"/>
      <c r="K20" s="7"/>
      <c r="L20" s="16"/>
      <c r="N20" s="31"/>
      <c r="P20" s="38"/>
      <c r="Q20" s="15" t="s">
        <v>29</v>
      </c>
      <c r="R20" s="15" t="s">
        <v>29</v>
      </c>
      <c r="S20" s="15" t="s">
        <v>29</v>
      </c>
      <c r="T20" s="15" t="s">
        <v>29</v>
      </c>
      <c r="U20" s="15" t="s">
        <v>29</v>
      </c>
      <c r="V20" s="15"/>
      <c r="W20" s="40"/>
      <c r="Z20" s="7"/>
      <c r="AA20" s="7"/>
      <c r="AB20" s="7"/>
      <c r="AC20" s="7"/>
      <c r="AD20" s="7"/>
      <c r="AE20" s="7"/>
      <c r="AF20" s="7"/>
      <c r="AJ20" s="3"/>
      <c r="AK20" s="3"/>
      <c r="AL20" s="3"/>
      <c r="AM20" s="3"/>
      <c r="AN20" s="3"/>
      <c r="AO20" s="3"/>
      <c r="AV20" s="3"/>
      <c r="AW20" s="3"/>
      <c r="AX20" s="3"/>
    </row>
    <row r="21" spans="2:50" s="3" customFormat="1" ht="29.25" thickBot="1">
      <c r="B21" s="41"/>
      <c r="C21" s="42"/>
      <c r="D21" s="42"/>
      <c r="E21" s="42"/>
      <c r="F21" s="42"/>
      <c r="G21" s="42"/>
      <c r="H21" s="42"/>
      <c r="I21" s="43"/>
      <c r="J21" s="2"/>
      <c r="K21" s="7"/>
      <c r="L21" s="16"/>
      <c r="N21" s="31"/>
      <c r="P21" s="41"/>
      <c r="Q21" s="42"/>
      <c r="R21" s="42"/>
      <c r="S21" s="42"/>
      <c r="T21" s="42"/>
      <c r="U21" s="42"/>
      <c r="V21" s="42"/>
      <c r="W21" s="43"/>
      <c r="X21" s="1"/>
      <c r="Y21" s="1"/>
      <c r="Z21" s="7"/>
      <c r="AA21" s="7"/>
      <c r="AB21" s="7"/>
      <c r="AC21" s="7"/>
      <c r="AD21" s="7"/>
      <c r="AE21" s="7"/>
      <c r="AF21" s="7"/>
      <c r="AJ21" s="1"/>
      <c r="AK21" s="1"/>
      <c r="AL21" s="1"/>
      <c r="AM21" s="1"/>
      <c r="AN21" s="1"/>
      <c r="AO21" s="1"/>
      <c r="AP21" s="1"/>
      <c r="AV21" s="1"/>
      <c r="AW21" s="1"/>
      <c r="AX21" s="1"/>
    </row>
    <row r="22" spans="2:50" ht="29.25" thickBot="1">
      <c r="B22" s="37" t="str">
        <f>S7</f>
        <v xml:space="preserve">Sara </v>
      </c>
      <c r="C22" s="14" t="s">
        <v>28</v>
      </c>
      <c r="D22" s="14" t="s">
        <v>38</v>
      </c>
      <c r="E22" s="14" t="s">
        <v>28</v>
      </c>
      <c r="F22" s="14" t="s">
        <v>36</v>
      </c>
      <c r="G22" s="14" t="s">
        <v>28</v>
      </c>
      <c r="H22" s="14"/>
      <c r="I22" s="39" t="str">
        <f t="shared" ref="I22" si="3">checkHours.checkHours(C22:H22, C23:H23)</f>
        <v>39:30</v>
      </c>
      <c r="J22" s="2"/>
      <c r="K22" s="7"/>
      <c r="L22" s="16"/>
      <c r="N22" s="31"/>
      <c r="P22" s="37" t="str">
        <f>S7</f>
        <v xml:space="preserve">Sara </v>
      </c>
      <c r="Q22" s="14" t="s">
        <v>28</v>
      </c>
      <c r="R22" s="14" t="s">
        <v>38</v>
      </c>
      <c r="S22" s="14" t="s">
        <v>28</v>
      </c>
      <c r="T22" s="14" t="s">
        <v>36</v>
      </c>
      <c r="U22" s="14" t="s">
        <v>28</v>
      </c>
      <c r="V22" s="14"/>
      <c r="W22" s="39" t="str">
        <f>checkHours.checkHours(Q22:V22, Q23:V23)</f>
        <v>39:30</v>
      </c>
      <c r="AA22" s="3"/>
      <c r="AB22" s="3"/>
      <c r="AC22" s="3"/>
      <c r="AD22" s="3"/>
      <c r="AE22" s="3"/>
      <c r="AF22" s="3"/>
    </row>
    <row r="23" spans="2:50" s="3" customFormat="1" ht="27" thickBot="1">
      <c r="B23" s="38"/>
      <c r="C23" s="15" t="s">
        <v>37</v>
      </c>
      <c r="D23" s="15" t="s">
        <v>37</v>
      </c>
      <c r="E23" s="15" t="s">
        <v>37</v>
      </c>
      <c r="F23" s="15" t="s">
        <v>37</v>
      </c>
      <c r="G23" s="15" t="s">
        <v>37</v>
      </c>
      <c r="H23" s="15"/>
      <c r="I23" s="40"/>
      <c r="J23" s="2"/>
      <c r="K23" s="7"/>
      <c r="L23" s="16"/>
      <c r="P23" s="38"/>
      <c r="Q23" s="15" t="s">
        <v>37</v>
      </c>
      <c r="R23" s="15" t="s">
        <v>37</v>
      </c>
      <c r="S23" s="15" t="s">
        <v>37</v>
      </c>
      <c r="T23" s="15" t="s">
        <v>37</v>
      </c>
      <c r="U23" s="15" t="s">
        <v>37</v>
      </c>
      <c r="V23" s="15"/>
      <c r="W23" s="40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2:50" ht="29.25" thickBot="1">
      <c r="B24" s="41"/>
      <c r="C24" s="42"/>
      <c r="D24" s="42"/>
      <c r="E24" s="42"/>
      <c r="F24" s="42"/>
      <c r="G24" s="42"/>
      <c r="H24" s="42"/>
      <c r="I24" s="43"/>
      <c r="J24" s="2"/>
      <c r="K24" s="7"/>
      <c r="L24" s="16"/>
      <c r="P24" s="41"/>
      <c r="Q24" s="42"/>
      <c r="R24" s="42"/>
      <c r="S24" s="42"/>
      <c r="T24" s="42"/>
      <c r="U24" s="42"/>
      <c r="V24" s="42"/>
      <c r="W24" s="43"/>
      <c r="AA24" s="3"/>
      <c r="AB24" s="3"/>
      <c r="AC24" s="3"/>
      <c r="AD24" s="3"/>
      <c r="AE24" s="3"/>
      <c r="AF24" s="3"/>
    </row>
    <row r="25" spans="2:50" s="3" customFormat="1" ht="29.25" thickBot="1">
      <c r="B25" s="37" t="str">
        <f>T7</f>
        <v xml:space="preserve">Ellyn </v>
      </c>
      <c r="C25" s="14" t="s">
        <v>35</v>
      </c>
      <c r="D25" s="14" t="s">
        <v>35</v>
      </c>
      <c r="E25" s="14" t="s">
        <v>35</v>
      </c>
      <c r="F25" s="14" t="s">
        <v>35</v>
      </c>
      <c r="G25" s="14" t="s">
        <v>35</v>
      </c>
      <c r="H25" s="14"/>
      <c r="I25" s="39" t="str">
        <f t="shared" ref="I25" si="4">checkHours.checkHours(C25:H25, C26:H26)</f>
        <v>40:00</v>
      </c>
      <c r="J25" s="2"/>
      <c r="K25" s="7"/>
      <c r="L25" s="16"/>
      <c r="P25" s="37" t="str">
        <f>T7</f>
        <v xml:space="preserve">Ellyn </v>
      </c>
      <c r="Q25" s="14" t="s">
        <v>35</v>
      </c>
      <c r="R25" s="14" t="s">
        <v>35</v>
      </c>
      <c r="S25" s="14" t="s">
        <v>35</v>
      </c>
      <c r="T25" s="14" t="s">
        <v>35</v>
      </c>
      <c r="U25" s="14" t="s">
        <v>35</v>
      </c>
      <c r="V25" s="14"/>
      <c r="W25" s="39" t="str">
        <f>checkHours.checkHours(Q25:V25, Q26:V26)</f>
        <v>40:00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2:50" ht="19.5" thickBot="1">
      <c r="B26" s="38"/>
      <c r="C26" s="15" t="s">
        <v>39</v>
      </c>
      <c r="D26" s="15" t="s">
        <v>39</v>
      </c>
      <c r="E26" s="15" t="s">
        <v>39</v>
      </c>
      <c r="F26" s="15" t="s">
        <v>39</v>
      </c>
      <c r="G26" s="15" t="s">
        <v>39</v>
      </c>
      <c r="H26" s="15"/>
      <c r="I26" s="40"/>
      <c r="P26" s="38"/>
      <c r="Q26" s="15" t="s">
        <v>39</v>
      </c>
      <c r="R26" s="15" t="s">
        <v>39</v>
      </c>
      <c r="S26" s="15" t="s">
        <v>39</v>
      </c>
      <c r="T26" s="15" t="s">
        <v>39</v>
      </c>
      <c r="U26" s="15" t="s">
        <v>39</v>
      </c>
      <c r="V26" s="15"/>
      <c r="W26" s="40"/>
      <c r="AA26" s="3"/>
      <c r="AB26" s="3"/>
      <c r="AC26" s="3"/>
      <c r="AD26" s="3"/>
      <c r="AE26" s="3"/>
      <c r="AF26" s="3"/>
      <c r="AP26" s="3"/>
    </row>
    <row r="27" spans="2:50" s="3" customFormat="1" ht="29.25" thickBot="1">
      <c r="B27" s="41"/>
      <c r="C27" s="42"/>
      <c r="D27" s="42"/>
      <c r="E27" s="42"/>
      <c r="F27" s="42"/>
      <c r="G27" s="42"/>
      <c r="H27" s="42"/>
      <c r="I27" s="43"/>
      <c r="P27" s="41"/>
      <c r="Q27" s="42"/>
      <c r="R27" s="42"/>
      <c r="S27" s="42"/>
      <c r="T27" s="42"/>
      <c r="U27" s="42"/>
      <c r="V27" s="42"/>
      <c r="W27" s="4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2:50" ht="29.25" thickBot="1">
      <c r="B28" s="37" t="str">
        <f>U7</f>
        <v xml:space="preserve">James </v>
      </c>
      <c r="C28" s="14" t="s">
        <v>40</v>
      </c>
      <c r="D28" s="14" t="s">
        <v>33</v>
      </c>
      <c r="E28" s="14" t="s">
        <v>59</v>
      </c>
      <c r="F28" s="14" t="s">
        <v>33</v>
      </c>
      <c r="G28" s="14" t="s">
        <v>33</v>
      </c>
      <c r="H28" s="14" t="s">
        <v>58</v>
      </c>
      <c r="I28" s="39" t="str">
        <f t="shared" ref="I28" si="5">checkHours.checkHours(C28:H28, C29:H29)</f>
        <v>40:00</v>
      </c>
      <c r="K28" s="58" t="s">
        <v>7</v>
      </c>
      <c r="L28" s="12">
        <v>43346</v>
      </c>
      <c r="P28" s="37" t="str">
        <f>U7</f>
        <v xml:space="preserve">James </v>
      </c>
      <c r="Q28" s="14" t="s">
        <v>40</v>
      </c>
      <c r="R28" s="14" t="s">
        <v>33</v>
      </c>
      <c r="S28" s="14" t="s">
        <v>33</v>
      </c>
      <c r="T28" s="14" t="s">
        <v>33</v>
      </c>
      <c r="U28" s="14" t="s">
        <v>33</v>
      </c>
      <c r="V28" s="14"/>
      <c r="W28" s="39" t="str">
        <f>checkHours.checkHours(Q28:V28, Q29:V29)</f>
        <v>40:00</v>
      </c>
      <c r="AA28" s="3"/>
      <c r="AB28" s="3"/>
      <c r="AC28" s="3"/>
      <c r="AD28" s="3"/>
      <c r="AE28" s="3"/>
      <c r="AF28" s="3"/>
    </row>
    <row r="29" spans="2:50" ht="24" thickBot="1">
      <c r="B29" s="38"/>
      <c r="C29" s="15" t="s">
        <v>34</v>
      </c>
      <c r="D29" s="15" t="s">
        <v>34</v>
      </c>
      <c r="E29" s="15"/>
      <c r="F29" s="15" t="s">
        <v>34</v>
      </c>
      <c r="G29" s="15" t="s">
        <v>34</v>
      </c>
      <c r="H29" s="15"/>
      <c r="I29" s="40"/>
      <c r="K29" s="59"/>
      <c r="L29" s="12">
        <v>43381</v>
      </c>
      <c r="P29" s="38"/>
      <c r="Q29" s="15" t="s">
        <v>34</v>
      </c>
      <c r="R29" s="15" t="s">
        <v>34</v>
      </c>
      <c r="S29" s="15" t="s">
        <v>34</v>
      </c>
      <c r="T29" s="15" t="s">
        <v>34</v>
      </c>
      <c r="U29" s="15" t="s">
        <v>34</v>
      </c>
      <c r="V29" s="15"/>
      <c r="W29" s="40"/>
      <c r="X29" s="3"/>
    </row>
    <row r="30" spans="2:50" ht="29.25" thickBot="1">
      <c r="B30" s="41" t="s">
        <v>65</v>
      </c>
      <c r="C30" s="42"/>
      <c r="D30" s="42"/>
      <c r="E30" s="42"/>
      <c r="F30" s="42"/>
      <c r="G30" s="42"/>
      <c r="H30" s="42"/>
      <c r="I30" s="43"/>
      <c r="L30" s="16">
        <v>43416</v>
      </c>
      <c r="P30" s="41"/>
      <c r="Q30" s="42"/>
      <c r="R30" s="42"/>
      <c r="S30" s="42"/>
      <c r="T30" s="42"/>
      <c r="U30" s="42"/>
      <c r="V30" s="42"/>
      <c r="W30" s="43"/>
      <c r="AA30" s="3"/>
      <c r="AB30" s="3"/>
      <c r="AC30" s="3"/>
      <c r="AD30" s="3"/>
      <c r="AE30" s="3"/>
      <c r="AF30" s="3"/>
    </row>
    <row r="31" spans="2:50" ht="29.25" thickBot="1">
      <c r="B31" s="37" t="str">
        <f>V7</f>
        <v xml:space="preserve">Jennifer </v>
      </c>
      <c r="C31" s="14" t="s">
        <v>35</v>
      </c>
      <c r="D31" s="14" t="s">
        <v>35</v>
      </c>
      <c r="E31" s="14" t="s">
        <v>35</v>
      </c>
      <c r="F31" s="14" t="s">
        <v>35</v>
      </c>
      <c r="G31" s="14" t="s">
        <v>35</v>
      </c>
      <c r="H31" s="14"/>
      <c r="I31" s="39" t="str">
        <f t="shared" ref="I31:I32" si="6">checkHours.checkHours(C31:H31, C32:H32)</f>
        <v>40:00</v>
      </c>
      <c r="L31" s="16">
        <v>43426</v>
      </c>
      <c r="P31" s="37" t="str">
        <f>V7</f>
        <v xml:space="preserve">Jennifer </v>
      </c>
      <c r="Q31" s="14" t="s">
        <v>35</v>
      </c>
      <c r="R31" s="14" t="s">
        <v>35</v>
      </c>
      <c r="S31" s="14" t="s">
        <v>35</v>
      </c>
      <c r="T31" s="14" t="s">
        <v>35</v>
      </c>
      <c r="U31" s="14" t="s">
        <v>35</v>
      </c>
      <c r="V31" s="14"/>
      <c r="W31" s="39" t="str">
        <f>checkHours.checkHours(Q31:V31, Q32:V32)</f>
        <v>40:00</v>
      </c>
      <c r="X31" s="3"/>
      <c r="AP31" s="2"/>
    </row>
    <row r="32" spans="2:50" s="2" customFormat="1" ht="27" thickBot="1">
      <c r="B32" s="38"/>
      <c r="C32" s="15" t="s">
        <v>32</v>
      </c>
      <c r="D32" s="15" t="s">
        <v>32</v>
      </c>
      <c r="E32" s="15" t="s">
        <v>32</v>
      </c>
      <c r="F32" s="15" t="s">
        <v>32</v>
      </c>
      <c r="G32" s="15" t="s">
        <v>32</v>
      </c>
      <c r="H32" s="15"/>
      <c r="I32" s="40"/>
      <c r="L32" s="16">
        <v>43459</v>
      </c>
      <c r="O32" s="1"/>
      <c r="P32" s="38"/>
      <c r="Q32" s="15" t="s">
        <v>32</v>
      </c>
      <c r="R32" s="15" t="s">
        <v>32</v>
      </c>
      <c r="S32" s="15" t="s">
        <v>32</v>
      </c>
      <c r="T32" s="15" t="s">
        <v>32</v>
      </c>
      <c r="U32" s="15" t="s">
        <v>32</v>
      </c>
      <c r="V32" s="15"/>
      <c r="W32" s="40"/>
      <c r="X32" s="1"/>
      <c r="AA32" s="1"/>
      <c r="AB32" s="1"/>
      <c r="AC32" s="1"/>
      <c r="AD32" s="1"/>
      <c r="AE32" s="1"/>
      <c r="AF32" s="1"/>
      <c r="AH32" s="1"/>
      <c r="AI32" s="1"/>
      <c r="AJ32" s="1"/>
      <c r="AK32" s="1"/>
      <c r="AL32" s="1"/>
      <c r="AM32" s="1"/>
      <c r="AN32" s="1"/>
      <c r="AO32" s="1"/>
      <c r="AP32" s="3"/>
    </row>
    <row r="33" spans="2:42" s="3" customFormat="1" ht="29.25" thickBot="1">
      <c r="B33" s="41"/>
      <c r="C33" s="42"/>
      <c r="D33" s="42"/>
      <c r="E33" s="42"/>
      <c r="F33" s="42"/>
      <c r="G33" s="42"/>
      <c r="H33" s="42"/>
      <c r="I33" s="43"/>
      <c r="L33" s="16"/>
      <c r="O33" s="1"/>
      <c r="P33" s="41"/>
      <c r="Q33" s="42"/>
      <c r="R33" s="42"/>
      <c r="S33" s="42"/>
      <c r="T33" s="42"/>
      <c r="U33" s="42"/>
      <c r="V33" s="42"/>
      <c r="W33" s="43"/>
      <c r="X33" s="1"/>
      <c r="AA33" s="1"/>
      <c r="AB33" s="1"/>
      <c r="AC33" s="1"/>
      <c r="AD33" s="1"/>
      <c r="AE33" s="1"/>
      <c r="AF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2:42" ht="29.25" thickBot="1">
      <c r="B34" s="53" t="s">
        <v>12</v>
      </c>
      <c r="C34" s="27">
        <v>0.36458333333333331</v>
      </c>
      <c r="D34" s="14"/>
      <c r="E34" s="27">
        <v>0.36458333333333331</v>
      </c>
      <c r="F34" s="14"/>
      <c r="G34" s="27">
        <v>0.36458333333333331</v>
      </c>
      <c r="H34" s="14"/>
      <c r="I34" s="37"/>
      <c r="L34" s="16"/>
      <c r="P34" s="53" t="s">
        <v>12</v>
      </c>
      <c r="Q34" s="27">
        <v>0.36458333333333331</v>
      </c>
      <c r="R34" s="14"/>
      <c r="S34" s="27">
        <v>0.36458333333333331</v>
      </c>
      <c r="T34" s="14"/>
      <c r="U34" s="27">
        <v>0.36458333333333331</v>
      </c>
      <c r="V34" s="14"/>
      <c r="W34" s="37"/>
      <c r="AP34" s="3"/>
    </row>
    <row r="35" spans="2:42" s="3" customFormat="1" ht="29.25" thickBot="1">
      <c r="B35" s="54"/>
      <c r="C35" s="15" t="s">
        <v>45</v>
      </c>
      <c r="D35" s="15"/>
      <c r="E35" s="15" t="s">
        <v>15</v>
      </c>
      <c r="F35" s="15"/>
      <c r="G35" s="15" t="s">
        <v>46</v>
      </c>
      <c r="H35" s="2"/>
      <c r="I35" s="38"/>
      <c r="L35" s="16"/>
      <c r="O35" s="1"/>
      <c r="P35" s="54"/>
      <c r="Q35" s="15"/>
      <c r="R35" s="15"/>
      <c r="S35" s="15" t="s">
        <v>15</v>
      </c>
      <c r="T35" s="15"/>
      <c r="U35" s="15"/>
      <c r="V35" s="14"/>
      <c r="W35" s="38"/>
      <c r="X35" s="1"/>
      <c r="AA35" s="2"/>
      <c r="AB35" s="2"/>
      <c r="AC35" s="2"/>
      <c r="AD35" s="2"/>
      <c r="AE35" s="2"/>
      <c r="AF35" s="2"/>
      <c r="AH35" s="1"/>
      <c r="AI35" s="1"/>
      <c r="AJ35" s="1"/>
      <c r="AK35" s="1"/>
      <c r="AL35" s="1"/>
      <c r="AM35" s="1"/>
      <c r="AN35" s="1"/>
      <c r="AO35" s="1"/>
      <c r="AP35" s="1"/>
    </row>
    <row r="36" spans="2:42" ht="29.25" thickBot="1">
      <c r="B36" s="41"/>
      <c r="C36" s="42"/>
      <c r="D36" s="42"/>
      <c r="E36" s="42"/>
      <c r="F36" s="42"/>
      <c r="G36" s="42"/>
      <c r="H36" s="42"/>
      <c r="I36" s="43"/>
      <c r="L36" s="16"/>
      <c r="P36" s="3"/>
      <c r="Q36" s="3"/>
      <c r="R36" s="7"/>
      <c r="X36" s="2"/>
      <c r="AA36" s="3"/>
      <c r="AB36" s="3"/>
      <c r="AC36" s="3"/>
      <c r="AD36" s="3"/>
      <c r="AE36" s="3"/>
      <c r="AF36" s="3"/>
      <c r="AP36" s="3"/>
    </row>
    <row r="37" spans="2:42" s="3" customFormat="1" ht="29.25" thickBot="1">
      <c r="B37" s="21" t="s">
        <v>11</v>
      </c>
      <c r="C37" s="23"/>
      <c r="D37" s="23"/>
      <c r="E37" s="23"/>
      <c r="F37" s="23"/>
      <c r="G37" s="23" t="s">
        <v>70</v>
      </c>
      <c r="H37" s="23"/>
      <c r="I37" s="24"/>
      <c r="L37" s="16"/>
      <c r="O37" s="1"/>
      <c r="P37" s="1"/>
      <c r="Q37" s="1"/>
      <c r="R37" s="1"/>
      <c r="S37" s="1"/>
      <c r="T37" s="1"/>
      <c r="U37" s="1"/>
      <c r="V37" s="1"/>
      <c r="W37" s="1"/>
      <c r="AA37" s="1"/>
      <c r="AB37" s="1"/>
      <c r="AC37" s="1"/>
      <c r="AD37" s="1"/>
      <c r="AE37" s="1"/>
      <c r="AF37" s="1"/>
      <c r="AH37" s="1"/>
      <c r="AI37" s="1"/>
      <c r="AJ37" s="1"/>
      <c r="AK37" s="1"/>
      <c r="AL37" s="1"/>
      <c r="AM37" s="1"/>
      <c r="AN37" s="1"/>
      <c r="AO37" s="1"/>
      <c r="AP37" s="1"/>
    </row>
    <row r="38" spans="2:42" ht="27" thickBot="1">
      <c r="B38" s="44"/>
      <c r="C38" s="45"/>
      <c r="D38" s="45"/>
      <c r="E38" s="45"/>
      <c r="F38" s="45"/>
      <c r="G38" s="45"/>
      <c r="H38" s="45"/>
      <c r="I38" s="46"/>
      <c r="L38" s="16"/>
      <c r="AA38" s="3"/>
      <c r="AB38" s="3"/>
      <c r="AC38" s="3"/>
      <c r="AD38" s="3"/>
      <c r="AE38" s="3"/>
      <c r="AF38" s="3"/>
      <c r="AP38" s="3"/>
    </row>
    <row r="39" spans="2:42" s="3" customFormat="1" ht="27" thickBot="1">
      <c r="B39" s="44"/>
      <c r="C39" s="45"/>
      <c r="D39" s="45"/>
      <c r="E39" s="45"/>
      <c r="F39" s="45"/>
      <c r="G39" s="45"/>
      <c r="H39" s="45"/>
      <c r="I39" s="46"/>
      <c r="L39" s="16"/>
      <c r="O39" s="1"/>
      <c r="P39" s="1"/>
      <c r="Q39" s="1"/>
      <c r="R39" s="1"/>
      <c r="S39" s="1"/>
      <c r="T39" s="1"/>
      <c r="U39" s="1"/>
      <c r="V39" s="1"/>
      <c r="W39" s="1"/>
      <c r="AA39" s="1"/>
      <c r="AB39" s="1"/>
      <c r="AC39" s="1"/>
      <c r="AD39" s="1"/>
      <c r="AE39" s="1"/>
      <c r="AF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2:42" ht="27" thickBot="1">
      <c r="B40" s="44"/>
      <c r="C40" s="45"/>
      <c r="D40" s="45"/>
      <c r="E40" s="45"/>
      <c r="F40" s="45"/>
      <c r="G40" s="45"/>
      <c r="H40" s="45"/>
      <c r="I40" s="46"/>
      <c r="L40" s="16"/>
      <c r="Y40" s="3"/>
      <c r="AA40" s="3"/>
      <c r="AB40" s="3"/>
      <c r="AC40" s="3"/>
      <c r="AD40" s="3"/>
      <c r="AE40" s="3"/>
      <c r="AF40" s="3"/>
      <c r="AP40" s="3"/>
    </row>
    <row r="41" spans="2:42" s="3" customFormat="1" ht="27" thickBot="1">
      <c r="B41" s="44"/>
      <c r="C41" s="45"/>
      <c r="D41" s="45"/>
      <c r="E41" s="45"/>
      <c r="F41" s="45"/>
      <c r="G41" s="45"/>
      <c r="H41" s="45"/>
      <c r="I41" s="46"/>
      <c r="L41" s="16"/>
      <c r="O41" s="1"/>
      <c r="P41" s="1"/>
      <c r="Q41" s="1"/>
      <c r="R41" s="1"/>
      <c r="S41" s="1"/>
      <c r="T41" s="1"/>
      <c r="U41" s="1"/>
      <c r="V41" s="1"/>
      <c r="W41" s="1"/>
      <c r="AA41" s="1"/>
      <c r="AB41" s="1"/>
      <c r="AC41" s="1"/>
      <c r="AD41" s="1"/>
      <c r="AE41" s="1"/>
      <c r="AF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2:42">
      <c r="L42" s="16"/>
      <c r="AA42" s="3"/>
      <c r="AB42" s="3"/>
      <c r="AC42" s="3"/>
      <c r="AD42" s="3"/>
      <c r="AE42" s="3"/>
      <c r="AF42" s="3"/>
      <c r="AP42" s="3"/>
    </row>
    <row r="43" spans="2:42" s="3" customFormat="1" ht="27" thickBot="1">
      <c r="B43" s="6"/>
      <c r="C43" s="9"/>
      <c r="D43" s="9"/>
      <c r="E43" s="9"/>
      <c r="F43" s="9"/>
      <c r="G43" s="9"/>
      <c r="H43" s="9"/>
      <c r="I43" s="22"/>
      <c r="L43" s="16"/>
      <c r="O43" s="1"/>
      <c r="P43" s="1"/>
      <c r="Q43" s="1"/>
      <c r="R43" s="1"/>
      <c r="S43" s="1"/>
      <c r="T43" s="1"/>
      <c r="U43" s="1"/>
      <c r="V43" s="1"/>
      <c r="W43" s="1"/>
      <c r="AA43" s="1"/>
      <c r="AB43" s="1"/>
      <c r="AC43" s="1"/>
      <c r="AD43" s="1"/>
      <c r="AE43" s="1"/>
      <c r="AF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2:42" ht="62.25" thickBot="1">
      <c r="B44" s="47"/>
      <c r="C44" s="48" t="str">
        <f>TEXT(E46,"mmmm")</f>
        <v>October</v>
      </c>
      <c r="D44" s="49"/>
      <c r="E44" s="49"/>
      <c r="F44" s="49"/>
      <c r="G44" s="49"/>
      <c r="H44" s="49"/>
      <c r="I44" s="50"/>
      <c r="L44" s="16"/>
      <c r="AA44" s="3"/>
      <c r="AB44" s="3"/>
      <c r="AC44" s="3"/>
      <c r="AD44" s="3"/>
      <c r="AE44" s="3"/>
      <c r="AF44" s="3"/>
      <c r="AP44" s="3"/>
    </row>
    <row r="45" spans="2:42" s="3" customFormat="1" ht="32.25" thickBot="1">
      <c r="B45" s="47"/>
      <c r="C45" s="35" t="s">
        <v>0</v>
      </c>
      <c r="D45" s="35" t="s">
        <v>1</v>
      </c>
      <c r="E45" s="35" t="s">
        <v>2</v>
      </c>
      <c r="F45" s="35" t="s">
        <v>3</v>
      </c>
      <c r="G45" s="35" t="s">
        <v>4</v>
      </c>
      <c r="H45" s="35" t="s">
        <v>5</v>
      </c>
      <c r="I45" s="51" t="s">
        <v>8</v>
      </c>
      <c r="L45" s="1"/>
      <c r="O45" s="1"/>
      <c r="P45" s="1"/>
      <c r="Q45" s="1"/>
      <c r="R45" s="1"/>
      <c r="S45" s="1"/>
      <c r="T45" s="1"/>
      <c r="U45" s="1"/>
      <c r="V45" s="1"/>
      <c r="W45" s="1"/>
      <c r="AA45" s="1"/>
      <c r="AB45" s="1"/>
      <c r="AC45" s="1"/>
      <c r="AD45" s="1"/>
      <c r="AE45" s="1"/>
      <c r="AF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2:42" ht="19.5" thickBot="1">
      <c r="B46" s="47"/>
      <c r="C46" s="4">
        <f>C15+7</f>
        <v>43381</v>
      </c>
      <c r="D46" s="4">
        <f>D15+7</f>
        <v>43382</v>
      </c>
      <c r="E46" s="4">
        <f>E15+7</f>
        <v>43383</v>
      </c>
      <c r="F46" s="4">
        <f>F15+7</f>
        <v>43384</v>
      </c>
      <c r="G46" s="4">
        <f>G15+7</f>
        <v>43385</v>
      </c>
      <c r="H46" s="17">
        <f>G46+1</f>
        <v>43386</v>
      </c>
      <c r="I46" s="52"/>
      <c r="AA46" s="3"/>
      <c r="AB46" s="3"/>
      <c r="AC46" s="3"/>
      <c r="AD46" s="3"/>
      <c r="AE46" s="3"/>
      <c r="AF46" s="3"/>
    </row>
    <row r="47" spans="2:42" ht="29.25" thickBot="1">
      <c r="B47" s="37" t="str">
        <f>Q7</f>
        <v xml:space="preserve">Anthony </v>
      </c>
      <c r="C47" s="14"/>
      <c r="D47" s="14" t="s">
        <v>81</v>
      </c>
      <c r="E47" s="14" t="s">
        <v>33</v>
      </c>
      <c r="F47" s="14" t="s">
        <v>33</v>
      </c>
      <c r="G47" s="14" t="s">
        <v>33</v>
      </c>
      <c r="H47" s="14" t="s">
        <v>62</v>
      </c>
      <c r="I47" s="39" t="str">
        <f t="shared" ref="I47" si="7">checkHours.checkHours(C47:H47, C48:H48)</f>
        <v>32:15</v>
      </c>
      <c r="X47" s="3"/>
    </row>
    <row r="48" spans="2:42" ht="27" thickBot="1">
      <c r="B48" s="38"/>
      <c r="C48" s="15"/>
      <c r="D48" s="15" t="s">
        <v>34</v>
      </c>
      <c r="E48" s="15" t="s">
        <v>34</v>
      </c>
      <c r="F48" s="15" t="s">
        <v>34</v>
      </c>
      <c r="G48" s="15" t="s">
        <v>34</v>
      </c>
      <c r="H48" s="15"/>
      <c r="I48" s="40"/>
      <c r="L48" s="2"/>
      <c r="AA48" s="3"/>
      <c r="AB48" s="3"/>
      <c r="AC48" s="3"/>
      <c r="AD48" s="3"/>
      <c r="AE48" s="3"/>
      <c r="AF48" s="3"/>
    </row>
    <row r="49" spans="2:42" ht="29.25" thickBot="1">
      <c r="B49" s="41" t="s">
        <v>82</v>
      </c>
      <c r="C49" s="42"/>
      <c r="D49" s="42"/>
      <c r="E49" s="42"/>
      <c r="F49" s="42"/>
      <c r="G49" s="42"/>
      <c r="H49" s="42"/>
      <c r="I49" s="43"/>
      <c r="L49" s="3"/>
      <c r="X49" s="3"/>
      <c r="AP49" s="2"/>
    </row>
    <row r="50" spans="2:42" s="2" customFormat="1" ht="29.25" thickBot="1">
      <c r="B50" s="37" t="str">
        <f>R7</f>
        <v xml:space="preserve">Eliza </v>
      </c>
      <c r="C50" s="14"/>
      <c r="D50" s="14" t="s">
        <v>36</v>
      </c>
      <c r="E50" s="14" t="s">
        <v>35</v>
      </c>
      <c r="F50" s="14" t="s">
        <v>38</v>
      </c>
      <c r="G50" s="14" t="s">
        <v>28</v>
      </c>
      <c r="H50" s="14" t="s">
        <v>66</v>
      </c>
      <c r="I50" s="39" t="str">
        <f t="shared" ref="I50" si="8">checkHours.checkHours(C50:H50, C51:H51)</f>
        <v>31:00</v>
      </c>
      <c r="L50" s="1"/>
      <c r="O50" s="1"/>
      <c r="P50" s="1"/>
      <c r="Q50" s="1"/>
      <c r="R50" s="1"/>
      <c r="S50" s="1"/>
      <c r="T50" s="1"/>
      <c r="U50" s="1"/>
      <c r="V50" s="1"/>
      <c r="W50" s="1"/>
      <c r="X50" s="1"/>
      <c r="AA50" s="1"/>
      <c r="AB50" s="1"/>
      <c r="AC50" s="1"/>
      <c r="AD50" s="1"/>
      <c r="AE50" s="1"/>
      <c r="AF50" s="1"/>
      <c r="AH50" s="1"/>
      <c r="AI50" s="1"/>
      <c r="AJ50" s="1"/>
      <c r="AK50" s="1"/>
      <c r="AL50" s="1"/>
      <c r="AM50" s="1"/>
      <c r="AN50" s="1"/>
      <c r="AO50" s="1"/>
      <c r="AP50" s="3"/>
    </row>
    <row r="51" spans="2:42" s="3" customFormat="1" ht="19.5" thickBot="1">
      <c r="B51" s="38"/>
      <c r="C51" s="15"/>
      <c r="D51" s="15" t="s">
        <v>29</v>
      </c>
      <c r="E51" s="15" t="s">
        <v>29</v>
      </c>
      <c r="F51" s="15" t="s">
        <v>29</v>
      </c>
      <c r="G51" s="15" t="s">
        <v>29</v>
      </c>
      <c r="H51" s="15"/>
      <c r="I51" s="40"/>
      <c r="O51" s="1"/>
      <c r="P51" s="1"/>
      <c r="Q51" s="1"/>
      <c r="R51" s="1"/>
      <c r="S51" s="1"/>
      <c r="T51" s="1"/>
      <c r="U51" s="1"/>
      <c r="V51" s="1"/>
      <c r="W51" s="1"/>
      <c r="X51" s="1"/>
      <c r="AA51" s="1"/>
      <c r="AB51" s="1"/>
      <c r="AC51" s="1"/>
      <c r="AD51" s="1"/>
      <c r="AE51" s="1"/>
      <c r="AF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2:42" ht="29.25" thickBot="1">
      <c r="B52" s="41" t="s">
        <v>68</v>
      </c>
      <c r="C52" s="42"/>
      <c r="D52" s="42"/>
      <c r="E52" s="42"/>
      <c r="F52" s="42"/>
      <c r="G52" s="42"/>
      <c r="H52" s="42"/>
      <c r="I52" s="43"/>
      <c r="AP52" s="3"/>
    </row>
    <row r="53" spans="2:42" s="3" customFormat="1" ht="29.25" thickBot="1">
      <c r="B53" s="37" t="str">
        <f>S7</f>
        <v xml:space="preserve">Sara </v>
      </c>
      <c r="C53" s="14"/>
      <c r="D53" s="14" t="s">
        <v>38</v>
      </c>
      <c r="E53" s="14" t="s">
        <v>28</v>
      </c>
      <c r="F53" s="14" t="s">
        <v>36</v>
      </c>
      <c r="G53" s="14" t="s">
        <v>28</v>
      </c>
      <c r="H53" s="14"/>
      <c r="I53" s="39" t="str">
        <f t="shared" ref="I53" si="9">checkHours.checkHours(C53:H53, C54:H54)</f>
        <v>31:15</v>
      </c>
      <c r="O53" s="1"/>
      <c r="P53" s="1"/>
      <c r="Q53" s="1"/>
      <c r="R53" s="1"/>
      <c r="S53" s="1"/>
      <c r="T53" s="1"/>
      <c r="U53" s="1"/>
      <c r="V53" s="1"/>
      <c r="W53" s="1"/>
      <c r="X53" s="1"/>
      <c r="AA53" s="2"/>
      <c r="AB53" s="2"/>
      <c r="AC53" s="2"/>
      <c r="AD53" s="2"/>
      <c r="AE53" s="2"/>
      <c r="AF53" s="2"/>
      <c r="AH53" s="1"/>
      <c r="AI53" s="1"/>
      <c r="AJ53" s="1"/>
      <c r="AK53" s="1"/>
      <c r="AL53" s="1"/>
      <c r="AM53" s="1"/>
      <c r="AN53" s="1"/>
      <c r="AO53" s="1"/>
      <c r="AP53" s="1"/>
    </row>
    <row r="54" spans="2:42" ht="27" thickBot="1">
      <c r="B54" s="38"/>
      <c r="C54" s="15"/>
      <c r="D54" s="15" t="s">
        <v>37</v>
      </c>
      <c r="E54" s="15" t="s">
        <v>37</v>
      </c>
      <c r="F54" s="15" t="s">
        <v>37</v>
      </c>
      <c r="G54" s="15" t="s">
        <v>37</v>
      </c>
      <c r="H54" s="15"/>
      <c r="I54" s="40"/>
      <c r="X54" s="2"/>
      <c r="AA54" s="3"/>
      <c r="AB54" s="3"/>
      <c r="AC54" s="3"/>
      <c r="AD54" s="3"/>
      <c r="AE54" s="3"/>
      <c r="AF54" s="3"/>
      <c r="AP54" s="3"/>
    </row>
    <row r="55" spans="2:42" s="3" customFormat="1" ht="29.25" thickBot="1">
      <c r="B55" s="41"/>
      <c r="C55" s="42"/>
      <c r="D55" s="42"/>
      <c r="E55" s="42"/>
      <c r="F55" s="42"/>
      <c r="G55" s="42"/>
      <c r="H55" s="42"/>
      <c r="I55" s="43"/>
      <c r="O55" s="1"/>
      <c r="P55" s="1"/>
      <c r="Q55" s="1"/>
      <c r="R55" s="1"/>
      <c r="S55" s="1"/>
      <c r="T55" s="1"/>
      <c r="U55" s="1"/>
      <c r="V55" s="1"/>
      <c r="W55" s="1"/>
      <c r="AA55" s="1"/>
      <c r="AB55" s="1"/>
      <c r="AC55" s="1"/>
      <c r="AD55" s="1"/>
      <c r="AE55" s="1"/>
      <c r="AF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2:42" ht="29.25" thickBot="1">
      <c r="B56" s="37" t="str">
        <f>T7</f>
        <v xml:space="preserve">Ellyn </v>
      </c>
      <c r="C56" s="14"/>
      <c r="D56" s="14" t="s">
        <v>35</v>
      </c>
      <c r="E56" s="14" t="s">
        <v>28</v>
      </c>
      <c r="F56" s="14" t="s">
        <v>35</v>
      </c>
      <c r="G56" s="14" t="s">
        <v>35</v>
      </c>
      <c r="H56" s="14"/>
      <c r="I56" s="39" t="str">
        <f t="shared" ref="I56" si="10">checkHours.checkHours(C56:H56, C57:H57)</f>
        <v>32:15</v>
      </c>
      <c r="AA56" s="3"/>
      <c r="AB56" s="3"/>
      <c r="AC56" s="3"/>
      <c r="AD56" s="3"/>
      <c r="AE56" s="3"/>
      <c r="AF56" s="3"/>
      <c r="AP56" s="3"/>
    </row>
    <row r="57" spans="2:42" s="3" customFormat="1" ht="19.5" thickBot="1">
      <c r="B57" s="38"/>
      <c r="C57" s="15"/>
      <c r="D57" s="15" t="s">
        <v>39</v>
      </c>
      <c r="E57" s="15" t="s">
        <v>39</v>
      </c>
      <c r="F57" s="15" t="s">
        <v>39</v>
      </c>
      <c r="G57" s="15" t="s">
        <v>39</v>
      </c>
      <c r="H57" s="15"/>
      <c r="I57" s="40"/>
      <c r="O57" s="1"/>
      <c r="P57" s="1"/>
      <c r="Q57" s="1"/>
      <c r="R57" s="1"/>
      <c r="S57" s="1"/>
      <c r="T57" s="1"/>
      <c r="U57" s="1"/>
      <c r="V57" s="1"/>
      <c r="W57" s="1"/>
      <c r="AA57" s="1"/>
      <c r="AB57" s="1"/>
      <c r="AC57" s="1"/>
      <c r="AD57" s="1"/>
      <c r="AE57" s="1"/>
      <c r="AF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2:42" ht="29.25" thickBot="1">
      <c r="B58" s="41"/>
      <c r="C58" s="42"/>
      <c r="D58" s="42"/>
      <c r="E58" s="42"/>
      <c r="F58" s="42"/>
      <c r="G58" s="42"/>
      <c r="H58" s="42"/>
      <c r="I58" s="43"/>
      <c r="AA58" s="3"/>
      <c r="AB58" s="3"/>
      <c r="AC58" s="3"/>
      <c r="AD58" s="3"/>
      <c r="AE58" s="3"/>
      <c r="AF58" s="3"/>
      <c r="AP58" s="3"/>
    </row>
    <row r="59" spans="2:42" s="3" customFormat="1" ht="29.25" thickBot="1">
      <c r="B59" s="37" t="str">
        <f>U7</f>
        <v xml:space="preserve">James </v>
      </c>
      <c r="C59" s="14"/>
      <c r="D59" s="14" t="s">
        <v>61</v>
      </c>
      <c r="E59" s="14" t="s">
        <v>61</v>
      </c>
      <c r="F59" s="14" t="s">
        <v>61</v>
      </c>
      <c r="G59" s="14" t="s">
        <v>61</v>
      </c>
      <c r="H59" s="14"/>
      <c r="I59" s="39" t="str">
        <f t="shared" ref="I59" si="11">checkHours.checkHours(C59:H59, C60:H60)</f>
        <v>0:00</v>
      </c>
      <c r="O59" s="1"/>
      <c r="P59" s="1"/>
      <c r="Q59" s="1"/>
      <c r="R59" s="1"/>
      <c r="S59" s="1"/>
      <c r="T59" s="1"/>
      <c r="U59" s="1"/>
      <c r="V59" s="1"/>
      <c r="W59" s="1"/>
      <c r="AA59" s="1"/>
      <c r="AB59" s="1"/>
      <c r="AC59" s="1"/>
      <c r="AD59" s="1"/>
      <c r="AE59" s="1"/>
      <c r="AF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2:42" ht="19.5" thickBot="1">
      <c r="B60" s="38"/>
      <c r="C60" s="15"/>
      <c r="D60" s="15"/>
      <c r="E60" s="15"/>
      <c r="F60" s="15"/>
      <c r="G60" s="15"/>
      <c r="H60" s="15"/>
      <c r="I60" s="40"/>
      <c r="AA60" s="3"/>
      <c r="AB60" s="3"/>
      <c r="AC60" s="3"/>
      <c r="AD60" s="3"/>
      <c r="AE60" s="3"/>
      <c r="AF60" s="3"/>
      <c r="AP60" s="3"/>
    </row>
    <row r="61" spans="2:42" s="3" customFormat="1" ht="29.25" thickBot="1">
      <c r="B61" s="41"/>
      <c r="C61" s="42"/>
      <c r="D61" s="42"/>
      <c r="E61" s="42"/>
      <c r="F61" s="42"/>
      <c r="G61" s="42"/>
      <c r="H61" s="42"/>
      <c r="I61" s="43"/>
      <c r="O61" s="1"/>
      <c r="P61" s="1"/>
      <c r="Q61" s="1"/>
      <c r="R61" s="1"/>
      <c r="S61" s="1"/>
      <c r="T61" s="1"/>
      <c r="U61" s="1"/>
      <c r="V61" s="1"/>
      <c r="W61" s="1"/>
      <c r="AA61" s="1"/>
      <c r="AB61" s="1"/>
      <c r="AC61" s="1"/>
      <c r="AD61" s="1"/>
      <c r="AE61" s="1"/>
      <c r="AF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2:42" ht="29.25" thickBot="1">
      <c r="B62" s="37" t="str">
        <f>V7</f>
        <v xml:space="preserve">Jennifer </v>
      </c>
      <c r="C62" s="14"/>
      <c r="D62" s="14" t="s">
        <v>35</v>
      </c>
      <c r="E62" s="14" t="s">
        <v>35</v>
      </c>
      <c r="F62" s="14" t="s">
        <v>35</v>
      </c>
      <c r="G62" s="14" t="s">
        <v>35</v>
      </c>
      <c r="H62" s="14"/>
      <c r="I62" s="39" t="str">
        <f t="shared" ref="I62:I63" si="12">checkHours.checkHours(C62:H62, C63:H63)</f>
        <v>32:00</v>
      </c>
      <c r="AA62" s="3"/>
      <c r="AB62" s="3"/>
      <c r="AC62" s="3"/>
      <c r="AD62" s="3"/>
      <c r="AE62" s="3"/>
      <c r="AF62" s="3"/>
      <c r="AP62" s="3"/>
    </row>
    <row r="63" spans="2:42" s="3" customFormat="1" ht="19.5" thickBot="1">
      <c r="B63" s="38"/>
      <c r="C63" s="15"/>
      <c r="D63" s="15" t="s">
        <v>32</v>
      </c>
      <c r="E63" s="15" t="s">
        <v>32</v>
      </c>
      <c r="F63" s="15" t="s">
        <v>32</v>
      </c>
      <c r="G63" s="15" t="s">
        <v>32</v>
      </c>
      <c r="H63" s="15"/>
      <c r="I63" s="40"/>
      <c r="L63" s="1"/>
      <c r="O63" s="1"/>
      <c r="P63" s="1"/>
      <c r="Q63" s="1"/>
      <c r="R63" s="1"/>
      <c r="S63" s="1"/>
      <c r="T63" s="1"/>
      <c r="U63" s="1"/>
      <c r="V63" s="1"/>
      <c r="W63" s="1"/>
      <c r="AA63" s="1"/>
      <c r="AB63" s="1"/>
      <c r="AC63" s="1"/>
      <c r="AD63" s="1"/>
      <c r="AE63" s="1"/>
      <c r="AF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2:42" ht="29.25" thickBot="1">
      <c r="B64" s="41"/>
      <c r="C64" s="42"/>
      <c r="D64" s="42"/>
      <c r="E64" s="42"/>
      <c r="F64" s="42"/>
      <c r="G64" s="42"/>
      <c r="H64" s="42"/>
      <c r="I64" s="43"/>
      <c r="AA64" s="3"/>
      <c r="AB64" s="3"/>
      <c r="AC64" s="3"/>
      <c r="AD64" s="3"/>
      <c r="AE64" s="3"/>
      <c r="AF64" s="3"/>
    </row>
    <row r="65" spans="1:42" ht="29.25" thickBot="1">
      <c r="B65" s="53" t="s">
        <v>12</v>
      </c>
      <c r="C65" s="27">
        <v>0.36458333333333331</v>
      </c>
      <c r="D65" s="14"/>
      <c r="E65" s="27">
        <v>0.36458333333333331</v>
      </c>
      <c r="F65" s="14"/>
      <c r="G65" s="27">
        <v>0.36458333333333331</v>
      </c>
      <c r="H65" s="14"/>
      <c r="I65" s="37"/>
      <c r="X65" s="3"/>
    </row>
    <row r="66" spans="1:42" ht="27" thickBot="1">
      <c r="B66" s="54"/>
      <c r="C66" s="15"/>
      <c r="D66" s="15"/>
      <c r="E66" s="15" t="s">
        <v>15</v>
      </c>
      <c r="F66" s="15"/>
      <c r="G66" s="15" t="s">
        <v>20</v>
      </c>
      <c r="I66" s="38"/>
      <c r="L66" s="2"/>
      <c r="AA66" s="3"/>
      <c r="AB66" s="3"/>
      <c r="AC66" s="3"/>
      <c r="AD66" s="3"/>
      <c r="AE66" s="3"/>
      <c r="AF66" s="3"/>
    </row>
    <row r="67" spans="1:42" ht="29.25" thickBot="1">
      <c r="B67" s="41"/>
      <c r="C67" s="42"/>
      <c r="D67" s="42"/>
      <c r="E67" s="42"/>
      <c r="F67" s="42"/>
      <c r="G67" s="42"/>
      <c r="H67" s="42"/>
      <c r="I67" s="43"/>
      <c r="L67" s="3"/>
      <c r="X67" s="3"/>
      <c r="AP67" s="2"/>
    </row>
    <row r="68" spans="1:42" s="2" customFormat="1" ht="29.25" thickBot="1">
      <c r="B68" s="21" t="s">
        <v>11</v>
      </c>
      <c r="C68" s="23" t="s">
        <v>19</v>
      </c>
      <c r="D68" s="23"/>
      <c r="E68" s="23"/>
      <c r="F68" s="23"/>
      <c r="G68" s="23"/>
      <c r="H68" s="23"/>
      <c r="I68" s="24"/>
      <c r="J68" s="3"/>
      <c r="L68" s="1"/>
      <c r="O68" s="1"/>
      <c r="P68" s="1"/>
      <c r="Q68" s="1"/>
      <c r="R68" s="1"/>
      <c r="S68" s="1"/>
      <c r="T68" s="1"/>
      <c r="U68" s="1"/>
      <c r="V68" s="1"/>
      <c r="W68" s="1"/>
      <c r="X68" s="1"/>
      <c r="AA68" s="1"/>
      <c r="AB68" s="1"/>
      <c r="AC68" s="1"/>
      <c r="AD68" s="1"/>
      <c r="AE68" s="1"/>
      <c r="AF68" s="1"/>
      <c r="AH68" s="1"/>
      <c r="AI68" s="1"/>
      <c r="AJ68" s="1"/>
      <c r="AK68" s="1"/>
      <c r="AL68" s="1"/>
      <c r="AM68" s="1"/>
      <c r="AN68" s="1"/>
      <c r="AO68" s="1"/>
      <c r="AP68" s="3"/>
    </row>
    <row r="69" spans="1:42" s="3" customFormat="1" ht="27" thickBot="1">
      <c r="B69" s="44" t="s">
        <v>67</v>
      </c>
      <c r="C69" s="45"/>
      <c r="D69" s="45"/>
      <c r="E69" s="45"/>
      <c r="F69" s="45"/>
      <c r="G69" s="45"/>
      <c r="H69" s="45"/>
      <c r="I69" s="46"/>
      <c r="J69" s="1"/>
      <c r="O69" s="1"/>
      <c r="P69" s="1"/>
      <c r="Q69" s="1"/>
      <c r="R69" s="1"/>
      <c r="S69" s="1"/>
      <c r="T69" s="1"/>
      <c r="U69" s="1"/>
      <c r="V69" s="1"/>
      <c r="W69" s="1"/>
      <c r="X69" s="1"/>
      <c r="AA69" s="1"/>
      <c r="AB69" s="1"/>
      <c r="AC69" s="1"/>
      <c r="AD69" s="1"/>
      <c r="AE69" s="1"/>
      <c r="AF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ht="27" thickBot="1">
      <c r="B70" s="44"/>
      <c r="C70" s="45"/>
      <c r="D70" s="45"/>
      <c r="E70" s="45"/>
      <c r="F70" s="45"/>
      <c r="G70" s="45"/>
      <c r="H70" s="45"/>
      <c r="I70" s="46"/>
      <c r="J70" s="3"/>
      <c r="AP70" s="3"/>
    </row>
    <row r="71" spans="1:42" s="3" customFormat="1" ht="27" thickBot="1">
      <c r="B71" s="44"/>
      <c r="C71" s="45"/>
      <c r="D71" s="45"/>
      <c r="E71" s="45"/>
      <c r="F71" s="45"/>
      <c r="G71" s="45"/>
      <c r="H71" s="45"/>
      <c r="I71" s="46"/>
      <c r="J71" s="1"/>
      <c r="O71" s="1"/>
      <c r="P71" s="1"/>
      <c r="Q71" s="1"/>
      <c r="R71" s="1"/>
      <c r="S71" s="1"/>
      <c r="T71" s="1"/>
      <c r="U71" s="1"/>
      <c r="V71" s="1"/>
      <c r="W71" s="1"/>
      <c r="X71" s="1"/>
      <c r="AA71" s="1"/>
      <c r="AB71" s="1"/>
      <c r="AC71" s="1"/>
      <c r="AD71" s="1"/>
      <c r="AE71" s="1"/>
      <c r="AF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ht="27" thickBot="1">
      <c r="B72" s="44"/>
      <c r="C72" s="45"/>
      <c r="D72" s="45"/>
      <c r="E72" s="45"/>
      <c r="F72" s="45"/>
      <c r="G72" s="45"/>
      <c r="H72" s="45"/>
      <c r="I72" s="46"/>
      <c r="J72" s="3"/>
      <c r="AP72" s="3"/>
    </row>
    <row r="73" spans="1:42" s="3" customFormat="1">
      <c r="B73" s="6"/>
      <c r="C73" s="9"/>
      <c r="D73" s="9"/>
      <c r="E73" s="9"/>
      <c r="F73" s="9"/>
      <c r="G73" s="9"/>
      <c r="H73" s="9"/>
      <c r="I73" s="22"/>
      <c r="J73" s="1"/>
      <c r="O73" s="1"/>
      <c r="P73" s="1"/>
      <c r="Q73" s="1"/>
      <c r="R73" s="1"/>
      <c r="S73" s="1"/>
      <c r="T73" s="1"/>
      <c r="U73" s="1"/>
      <c r="V73" s="1"/>
      <c r="W73" s="1"/>
      <c r="X73" s="1"/>
      <c r="AA73" s="1"/>
      <c r="AB73" s="1"/>
      <c r="AC73" s="1"/>
      <c r="AD73" s="1"/>
      <c r="AE73" s="1"/>
      <c r="AF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ht="27" thickBot="1">
      <c r="J74" s="3"/>
      <c r="AP74" s="3"/>
    </row>
    <row r="75" spans="1:42" s="3" customFormat="1" ht="62.25" thickBot="1">
      <c r="A75" s="1"/>
      <c r="B75" s="32"/>
      <c r="C75" s="48" t="str">
        <f>TEXT(E77,"mmmm")</f>
        <v>October</v>
      </c>
      <c r="D75" s="49"/>
      <c r="E75" s="49"/>
      <c r="F75" s="49"/>
      <c r="G75" s="49"/>
      <c r="H75" s="49"/>
      <c r="I75" s="50"/>
      <c r="J75" s="1"/>
      <c r="O75" s="1"/>
      <c r="P75" s="1"/>
      <c r="Q75" s="1"/>
      <c r="R75" s="1"/>
      <c r="S75" s="1"/>
      <c r="T75" s="1"/>
      <c r="U75" s="1"/>
      <c r="V75" s="1"/>
      <c r="W75" s="1"/>
      <c r="X75" s="1"/>
      <c r="AA75" s="1"/>
      <c r="AB75" s="1"/>
      <c r="AC75" s="1"/>
      <c r="AD75" s="1"/>
      <c r="AE75" s="1"/>
      <c r="AF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ht="32.25" thickBot="1">
      <c r="B76" s="33"/>
      <c r="C76" s="35" t="s">
        <v>0</v>
      </c>
      <c r="D76" s="35" t="s">
        <v>1</v>
      </c>
      <c r="E76" s="35" t="s">
        <v>2</v>
      </c>
      <c r="F76" s="35" t="s">
        <v>3</v>
      </c>
      <c r="G76" s="35" t="s">
        <v>4</v>
      </c>
      <c r="H76" s="35" t="s">
        <v>5</v>
      </c>
      <c r="I76" s="51" t="s">
        <v>8</v>
      </c>
      <c r="AP76" s="3"/>
    </row>
    <row r="77" spans="1:42" s="3" customFormat="1" ht="27" thickBot="1">
      <c r="A77" s="1"/>
      <c r="B77" s="34"/>
      <c r="C77" s="4">
        <f>C46+7</f>
        <v>43388</v>
      </c>
      <c r="D77" s="5">
        <f>C77+1</f>
        <v>43389</v>
      </c>
      <c r="E77" s="5">
        <f>D77+1</f>
        <v>43390</v>
      </c>
      <c r="F77" s="5">
        <f>E77+1</f>
        <v>43391</v>
      </c>
      <c r="G77" s="5">
        <f>F77+1</f>
        <v>43392</v>
      </c>
      <c r="H77" s="17">
        <f>G77+1</f>
        <v>43393</v>
      </c>
      <c r="I77" s="52"/>
      <c r="J77" s="1"/>
      <c r="O77" s="1"/>
      <c r="P77" s="1"/>
      <c r="Q77" s="1"/>
      <c r="R77" s="1"/>
      <c r="S77" s="1"/>
      <c r="T77" s="1"/>
      <c r="U77" s="1"/>
      <c r="V77" s="1"/>
      <c r="W77" s="1"/>
      <c r="X77" s="1"/>
      <c r="AA77" s="1"/>
      <c r="AB77" s="1"/>
      <c r="AC77" s="1"/>
      <c r="AD77" s="1"/>
      <c r="AE77" s="1"/>
      <c r="AF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ht="29.25" thickBot="1">
      <c r="B78" s="37" t="str">
        <f>Q7</f>
        <v xml:space="preserve">Anthony </v>
      </c>
      <c r="C78" s="14" t="s">
        <v>81</v>
      </c>
      <c r="D78" s="14" t="s">
        <v>30</v>
      </c>
      <c r="E78" s="14" t="s">
        <v>30</v>
      </c>
      <c r="F78" s="14" t="s">
        <v>30</v>
      </c>
      <c r="G78" s="14" t="s">
        <v>30</v>
      </c>
      <c r="H78" s="14" t="s">
        <v>71</v>
      </c>
      <c r="I78" s="39" t="str">
        <f t="shared" ref="I78" si="13">checkHours.checkHours(C78:H78, C79:H79)</f>
        <v>40:15</v>
      </c>
      <c r="AP78" s="3"/>
    </row>
    <row r="79" spans="1:42" s="3" customFormat="1" ht="19.5" thickBot="1">
      <c r="A79" s="1"/>
      <c r="B79" s="38"/>
      <c r="C79" s="15" t="s">
        <v>34</v>
      </c>
      <c r="D79" s="15" t="s">
        <v>31</v>
      </c>
      <c r="E79" s="15" t="s">
        <v>31</v>
      </c>
      <c r="F79" s="15" t="s">
        <v>31</v>
      </c>
      <c r="G79" s="15" t="s">
        <v>31</v>
      </c>
      <c r="H79" s="15"/>
      <c r="I79" s="40"/>
      <c r="J79" s="1"/>
      <c r="O79" s="1"/>
      <c r="P79" s="1"/>
      <c r="Q79" s="1"/>
      <c r="R79" s="1"/>
      <c r="S79" s="1"/>
      <c r="T79" s="1"/>
      <c r="U79" s="1"/>
      <c r="V79" s="1"/>
      <c r="W79" s="1"/>
      <c r="X79" s="1"/>
      <c r="AA79" s="1"/>
      <c r="AB79" s="1"/>
      <c r="AC79" s="1"/>
      <c r="AD79" s="1"/>
      <c r="AE79" s="1"/>
      <c r="AF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ht="29.25" thickBot="1">
      <c r="B80" s="41" t="s">
        <v>83</v>
      </c>
      <c r="C80" s="42"/>
      <c r="D80" s="42"/>
      <c r="E80" s="42"/>
      <c r="F80" s="42"/>
      <c r="G80" s="42"/>
      <c r="H80" s="42"/>
      <c r="I80" s="43"/>
      <c r="AP80" s="3"/>
    </row>
    <row r="81" spans="1:42" s="3" customFormat="1" ht="29.25" thickBot="1">
      <c r="A81" s="1"/>
      <c r="B81" s="37" t="str">
        <f>R7</f>
        <v xml:space="preserve">Eliza </v>
      </c>
      <c r="C81" s="14" t="s">
        <v>28</v>
      </c>
      <c r="D81" s="14" t="s">
        <v>72</v>
      </c>
      <c r="E81" s="14" t="s">
        <v>28</v>
      </c>
      <c r="F81" s="14" t="s">
        <v>38</v>
      </c>
      <c r="G81" s="14" t="s">
        <v>28</v>
      </c>
      <c r="H81" s="14" t="s">
        <v>58</v>
      </c>
      <c r="I81" s="39" t="str">
        <f t="shared" ref="I81" si="14">checkHours.checkHours(C81:H81, C82:H82)</f>
        <v>39:30</v>
      </c>
      <c r="J81" s="1"/>
      <c r="L81" s="1"/>
      <c r="O81" s="1"/>
      <c r="P81" s="1"/>
      <c r="Q81" s="1"/>
      <c r="R81" s="1"/>
      <c r="S81" s="1"/>
      <c r="T81" s="1"/>
      <c r="U81" s="1"/>
      <c r="V81" s="1"/>
      <c r="W81" s="1"/>
      <c r="X81" s="1"/>
      <c r="AA81" s="1"/>
      <c r="AB81" s="1"/>
      <c r="AC81" s="1"/>
      <c r="AD81" s="1"/>
      <c r="AE81" s="1"/>
      <c r="AF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ht="19.5" thickBot="1">
      <c r="B82" s="38"/>
      <c r="C82" s="15" t="s">
        <v>29</v>
      </c>
      <c r="D82" s="15" t="s">
        <v>29</v>
      </c>
      <c r="E82" s="15" t="s">
        <v>29</v>
      </c>
      <c r="F82" s="15" t="s">
        <v>29</v>
      </c>
      <c r="G82" s="15" t="s">
        <v>29</v>
      </c>
      <c r="H82" s="15"/>
      <c r="I82" s="40"/>
    </row>
    <row r="83" spans="1:42" ht="29.25" thickBot="1">
      <c r="B83" s="41"/>
      <c r="C83" s="42"/>
      <c r="D83" s="42"/>
      <c r="E83" s="42"/>
      <c r="F83" s="42"/>
      <c r="G83" s="42"/>
      <c r="H83" s="42"/>
      <c r="I83" s="43"/>
    </row>
    <row r="84" spans="1:42" ht="29.25" thickBot="1">
      <c r="B84" s="37" t="str">
        <f>S7</f>
        <v xml:space="preserve">Sara </v>
      </c>
      <c r="C84" s="14" t="s">
        <v>28</v>
      </c>
      <c r="D84" s="14" t="s">
        <v>38</v>
      </c>
      <c r="E84" s="14" t="s">
        <v>28</v>
      </c>
      <c r="F84" s="14" t="s">
        <v>36</v>
      </c>
      <c r="G84" s="14" t="s">
        <v>28</v>
      </c>
      <c r="H84" s="14"/>
      <c r="I84" s="39" t="str">
        <f t="shared" ref="I84" si="15">checkHours.checkHours(C84:H84, C85:H85)</f>
        <v>39:30</v>
      </c>
    </row>
    <row r="85" spans="1:42" ht="19.5" thickBot="1">
      <c r="B85" s="38"/>
      <c r="C85" s="15" t="s">
        <v>37</v>
      </c>
      <c r="D85" s="15" t="s">
        <v>37</v>
      </c>
      <c r="E85" s="15" t="s">
        <v>37</v>
      </c>
      <c r="F85" s="15" t="s">
        <v>37</v>
      </c>
      <c r="G85" s="15" t="s">
        <v>37</v>
      </c>
      <c r="H85" s="15"/>
      <c r="I85" s="40"/>
    </row>
    <row r="86" spans="1:42" ht="29.25" thickBot="1">
      <c r="B86" s="41"/>
      <c r="C86" s="42"/>
      <c r="D86" s="42"/>
      <c r="E86" s="42"/>
      <c r="F86" s="42"/>
      <c r="G86" s="42"/>
      <c r="H86" s="42"/>
      <c r="I86" s="43"/>
    </row>
    <row r="87" spans="1:42" ht="29.25" thickBot="1">
      <c r="B87" s="37" t="str">
        <f>T7</f>
        <v xml:space="preserve">Ellyn </v>
      </c>
      <c r="C87" s="14" t="s">
        <v>35</v>
      </c>
      <c r="D87" s="14" t="s">
        <v>35</v>
      </c>
      <c r="E87" s="14" t="s">
        <v>35</v>
      </c>
      <c r="F87" s="14" t="s">
        <v>35</v>
      </c>
      <c r="G87" s="14" t="s">
        <v>35</v>
      </c>
      <c r="H87" s="14"/>
      <c r="I87" s="39" t="str">
        <f t="shared" ref="I87" si="16">checkHours.checkHours(C87:H87, C88:H88)</f>
        <v>40:00</v>
      </c>
    </row>
    <row r="88" spans="1:42" ht="19.5" thickBot="1">
      <c r="B88" s="38"/>
      <c r="C88" s="15" t="s">
        <v>39</v>
      </c>
      <c r="D88" s="15" t="s">
        <v>39</v>
      </c>
      <c r="E88" s="15" t="s">
        <v>39</v>
      </c>
      <c r="F88" s="15" t="s">
        <v>39</v>
      </c>
      <c r="G88" s="15" t="s">
        <v>39</v>
      </c>
      <c r="H88" s="15"/>
      <c r="I88" s="40"/>
    </row>
    <row r="89" spans="1:42" ht="29.25" thickBot="1">
      <c r="B89" s="41"/>
      <c r="C89" s="42"/>
      <c r="D89" s="42"/>
      <c r="E89" s="42"/>
      <c r="F89" s="42"/>
      <c r="G89" s="42"/>
      <c r="H89" s="42"/>
      <c r="I89" s="43"/>
    </row>
    <row r="90" spans="1:42" ht="29.25" thickBot="1">
      <c r="B90" s="37" t="str">
        <f>U7</f>
        <v xml:space="preserve">James </v>
      </c>
      <c r="C90" s="14" t="s">
        <v>61</v>
      </c>
      <c r="D90" s="14" t="s">
        <v>33</v>
      </c>
      <c r="E90" s="14" t="s">
        <v>33</v>
      </c>
      <c r="F90" s="14" t="s">
        <v>33</v>
      </c>
      <c r="G90" s="14" t="s">
        <v>33</v>
      </c>
      <c r="H90" s="14"/>
      <c r="I90" s="39" t="str">
        <f t="shared" ref="I90" si="17">checkHours.checkHours(C90:H90, C91:H91)</f>
        <v>32:00</v>
      </c>
    </row>
    <row r="91" spans="1:42" ht="19.5" thickBot="1">
      <c r="B91" s="38"/>
      <c r="C91" s="15"/>
      <c r="D91" s="15" t="s">
        <v>34</v>
      </c>
      <c r="E91" s="15" t="s">
        <v>34</v>
      </c>
      <c r="F91" s="15" t="s">
        <v>34</v>
      </c>
      <c r="G91" s="15" t="s">
        <v>34</v>
      </c>
      <c r="H91" s="15"/>
      <c r="I91" s="40"/>
    </row>
    <row r="92" spans="1:42" ht="29.25" thickBot="1">
      <c r="B92" s="41"/>
      <c r="C92" s="42"/>
      <c r="D92" s="42"/>
      <c r="E92" s="42"/>
      <c r="F92" s="42"/>
      <c r="G92" s="42"/>
      <c r="H92" s="42"/>
      <c r="I92" s="43"/>
    </row>
    <row r="93" spans="1:42" ht="29.25" thickBot="1">
      <c r="B93" s="37" t="str">
        <f>V7</f>
        <v xml:space="preserve">Jennifer </v>
      </c>
      <c r="C93" s="14" t="s">
        <v>35</v>
      </c>
      <c r="D93" s="14" t="s">
        <v>35</v>
      </c>
      <c r="E93" s="14" t="s">
        <v>35</v>
      </c>
      <c r="F93" s="14" t="s">
        <v>35</v>
      </c>
      <c r="G93" s="14" t="s">
        <v>35</v>
      </c>
      <c r="H93" s="14"/>
      <c r="I93" s="39" t="str">
        <f t="shared" ref="I93:I94" si="18">checkHours.checkHours(C93:H93, C94:H94)</f>
        <v>40:00</v>
      </c>
    </row>
    <row r="94" spans="1:42" ht="19.5" thickBot="1">
      <c r="B94" s="38"/>
      <c r="C94" s="15" t="s">
        <v>32</v>
      </c>
      <c r="D94" s="15" t="s">
        <v>32</v>
      </c>
      <c r="E94" s="15" t="s">
        <v>32</v>
      </c>
      <c r="F94" s="15" t="s">
        <v>32</v>
      </c>
      <c r="G94" s="15" t="s">
        <v>32</v>
      </c>
      <c r="H94" s="15"/>
      <c r="I94" s="40"/>
    </row>
    <row r="95" spans="1:42" ht="29.25" thickBot="1">
      <c r="B95" s="41"/>
      <c r="C95" s="42"/>
      <c r="D95" s="42"/>
      <c r="E95" s="42"/>
      <c r="F95" s="42"/>
      <c r="G95" s="42"/>
      <c r="H95" s="42"/>
      <c r="I95" s="43"/>
    </row>
    <row r="96" spans="1:42" ht="29.25" thickBot="1">
      <c r="B96" s="53" t="s">
        <v>12</v>
      </c>
      <c r="C96" s="27">
        <v>0.36458333333333331</v>
      </c>
      <c r="D96" s="14"/>
      <c r="E96" s="27">
        <v>0.33333333333333331</v>
      </c>
      <c r="F96" s="14"/>
      <c r="G96" s="27">
        <v>0.36458333333333331</v>
      </c>
      <c r="H96" s="14"/>
      <c r="I96" s="37"/>
    </row>
    <row r="97" spans="2:9" ht="19.5" thickBot="1">
      <c r="B97" s="54"/>
      <c r="C97" s="15" t="s">
        <v>47</v>
      </c>
      <c r="D97" s="15" t="s">
        <v>69</v>
      </c>
      <c r="E97" s="15" t="s">
        <v>84</v>
      </c>
      <c r="F97" s="15"/>
      <c r="G97" s="15" t="s">
        <v>48</v>
      </c>
      <c r="H97" s="15"/>
      <c r="I97" s="38"/>
    </row>
    <row r="98" spans="2:9" ht="29.25" thickBot="1">
      <c r="B98" s="41" t="s">
        <v>85</v>
      </c>
      <c r="C98" s="42"/>
      <c r="D98" s="42"/>
      <c r="E98" s="42"/>
      <c r="F98" s="42"/>
      <c r="G98" s="42"/>
      <c r="H98" s="42"/>
      <c r="I98" s="43"/>
    </row>
    <row r="99" spans="2:9" ht="29.25" thickBot="1">
      <c r="B99" s="21" t="s">
        <v>11</v>
      </c>
      <c r="C99" s="23"/>
      <c r="D99" s="23"/>
      <c r="E99" s="23"/>
      <c r="F99" s="23"/>
      <c r="G99" s="23" t="s">
        <v>70</v>
      </c>
      <c r="H99" s="23"/>
      <c r="I99" s="24"/>
    </row>
    <row r="100" spans="2:9" ht="27" thickBot="1">
      <c r="B100" s="44"/>
      <c r="C100" s="45"/>
      <c r="D100" s="45"/>
      <c r="E100" s="45"/>
      <c r="F100" s="45"/>
      <c r="G100" s="45"/>
      <c r="H100" s="45"/>
      <c r="I100" s="46"/>
    </row>
    <row r="101" spans="2:9" ht="27" thickBot="1">
      <c r="B101" s="44"/>
      <c r="C101" s="45"/>
      <c r="D101" s="45"/>
      <c r="E101" s="45"/>
      <c r="F101" s="45"/>
      <c r="G101" s="45"/>
      <c r="H101" s="45"/>
      <c r="I101" s="46"/>
    </row>
    <row r="102" spans="2:9" ht="27" thickBot="1">
      <c r="B102" s="44"/>
      <c r="C102" s="45"/>
      <c r="D102" s="45"/>
      <c r="E102" s="45"/>
      <c r="F102" s="45"/>
      <c r="G102" s="45"/>
      <c r="H102" s="45"/>
      <c r="I102" s="46"/>
    </row>
    <row r="103" spans="2:9" ht="27" thickBot="1">
      <c r="B103" s="44"/>
      <c r="C103" s="45"/>
      <c r="D103" s="45"/>
      <c r="E103" s="45"/>
      <c r="F103" s="45"/>
      <c r="G103" s="45"/>
      <c r="H103" s="45"/>
      <c r="I103" s="46"/>
    </row>
    <row r="104" spans="2:9" ht="18.75">
      <c r="B104" s="3"/>
    </row>
    <row r="105" spans="2:9" ht="27" thickBot="1"/>
    <row r="106" spans="2:9" ht="62.25" thickBot="1">
      <c r="B106" s="55"/>
      <c r="C106" s="48" t="str">
        <f>TEXT(E108,"mmmm")</f>
        <v>October</v>
      </c>
      <c r="D106" s="49"/>
      <c r="E106" s="49"/>
      <c r="F106" s="49"/>
      <c r="G106" s="49"/>
      <c r="H106" s="49"/>
      <c r="I106" s="50"/>
    </row>
    <row r="107" spans="2:9" ht="32.25" thickBot="1">
      <c r="B107" s="56"/>
      <c r="C107" s="35" t="s">
        <v>0</v>
      </c>
      <c r="D107" s="35" t="s">
        <v>1</v>
      </c>
      <c r="E107" s="35" t="s">
        <v>2</v>
      </c>
      <c r="F107" s="35" t="s">
        <v>3</v>
      </c>
      <c r="G107" s="35" t="s">
        <v>4</v>
      </c>
      <c r="H107" s="35" t="s">
        <v>5</v>
      </c>
      <c r="I107" s="51" t="s">
        <v>8</v>
      </c>
    </row>
    <row r="108" spans="2:9" ht="19.5" thickBot="1">
      <c r="B108" s="57"/>
      <c r="C108" s="4">
        <f>C77+7</f>
        <v>43395</v>
      </c>
      <c r="D108" s="5">
        <f>C108+1</f>
        <v>43396</v>
      </c>
      <c r="E108" s="5">
        <f>D108+1</f>
        <v>43397</v>
      </c>
      <c r="F108" s="5">
        <f>E108+1</f>
        <v>43398</v>
      </c>
      <c r="G108" s="5">
        <f>F108+1</f>
        <v>43399</v>
      </c>
      <c r="H108" s="17">
        <f>G108+1</f>
        <v>43400</v>
      </c>
      <c r="I108" s="52"/>
    </row>
    <row r="109" spans="2:9" ht="29.25" thickBot="1">
      <c r="B109" s="37" t="str">
        <f>Q7</f>
        <v xml:space="preserve">Anthony </v>
      </c>
      <c r="C109" s="14" t="s">
        <v>30</v>
      </c>
      <c r="D109" s="14" t="s">
        <v>30</v>
      </c>
      <c r="E109" s="14" t="s">
        <v>30</v>
      </c>
      <c r="F109" s="14" t="s">
        <v>30</v>
      </c>
      <c r="G109" s="14" t="s">
        <v>30</v>
      </c>
      <c r="H109" s="14" t="s">
        <v>75</v>
      </c>
      <c r="I109" s="39" t="str">
        <f t="shared" ref="I109" si="19">checkHours.checkHours(C109:H109, C110:H110)</f>
        <v>40:00</v>
      </c>
    </row>
    <row r="110" spans="2:9" ht="19.5" thickBot="1">
      <c r="B110" s="38"/>
      <c r="C110" s="15" t="s">
        <v>31</v>
      </c>
      <c r="D110" s="15" t="s">
        <v>31</v>
      </c>
      <c r="E110" s="15" t="s">
        <v>31</v>
      </c>
      <c r="F110" s="15" t="s">
        <v>31</v>
      </c>
      <c r="G110" s="15" t="s">
        <v>31</v>
      </c>
      <c r="H110" s="15"/>
      <c r="I110" s="40"/>
    </row>
    <row r="111" spans="2:9" ht="29.25" thickBot="1">
      <c r="B111" s="41"/>
      <c r="C111" s="42"/>
      <c r="D111" s="42"/>
      <c r="E111" s="42"/>
      <c r="F111" s="42"/>
      <c r="G111" s="42"/>
      <c r="H111" s="42"/>
      <c r="I111" s="43"/>
    </row>
    <row r="112" spans="2:9" ht="29.25" thickBot="1">
      <c r="B112" s="37" t="str">
        <f>R7</f>
        <v xml:space="preserve">Eliza </v>
      </c>
      <c r="C112" s="14" t="s">
        <v>28</v>
      </c>
      <c r="D112" s="14" t="s">
        <v>36</v>
      </c>
      <c r="E112" s="14" t="s">
        <v>28</v>
      </c>
      <c r="F112" s="14" t="s">
        <v>38</v>
      </c>
      <c r="G112" s="14" t="s">
        <v>28</v>
      </c>
      <c r="H112" s="14"/>
      <c r="I112" s="39" t="str">
        <f t="shared" ref="I112" si="20">checkHours.checkHours(C112:H112, C113:H113)</f>
        <v>39:30</v>
      </c>
    </row>
    <row r="113" spans="2:9" ht="19.5" thickBot="1">
      <c r="B113" s="38"/>
      <c r="C113" s="15" t="s">
        <v>29</v>
      </c>
      <c r="D113" s="15" t="s">
        <v>29</v>
      </c>
      <c r="E113" s="15" t="s">
        <v>29</v>
      </c>
      <c r="F113" s="15" t="s">
        <v>29</v>
      </c>
      <c r="G113" s="15" t="s">
        <v>29</v>
      </c>
      <c r="H113" s="15"/>
      <c r="I113" s="40"/>
    </row>
    <row r="114" spans="2:9" ht="29.25" thickBot="1">
      <c r="B114" s="41"/>
      <c r="C114" s="42"/>
      <c r="D114" s="42"/>
      <c r="E114" s="42"/>
      <c r="F114" s="42"/>
      <c r="G114" s="42"/>
      <c r="H114" s="42"/>
      <c r="I114" s="43"/>
    </row>
    <row r="115" spans="2:9" ht="29.25" thickBot="1">
      <c r="B115" s="37" t="str">
        <f>S7</f>
        <v xml:space="preserve">Sara </v>
      </c>
      <c r="C115" s="14" t="s">
        <v>28</v>
      </c>
      <c r="D115" s="14" t="s">
        <v>38</v>
      </c>
      <c r="E115" s="14" t="s">
        <v>28</v>
      </c>
      <c r="F115" s="14" t="s">
        <v>36</v>
      </c>
      <c r="G115" s="14" t="s">
        <v>28</v>
      </c>
      <c r="H115" s="14"/>
      <c r="I115" s="39" t="str">
        <f t="shared" ref="I115" si="21">checkHours.checkHours(C115:H115, C116:H116)</f>
        <v>39:30</v>
      </c>
    </row>
    <row r="116" spans="2:9" ht="19.5" thickBot="1">
      <c r="B116" s="38"/>
      <c r="C116" s="15" t="s">
        <v>37</v>
      </c>
      <c r="D116" s="15" t="s">
        <v>37</v>
      </c>
      <c r="E116" s="15" t="s">
        <v>37</v>
      </c>
      <c r="F116" s="15" t="s">
        <v>37</v>
      </c>
      <c r="G116" s="15" t="s">
        <v>37</v>
      </c>
      <c r="H116" s="15"/>
      <c r="I116" s="40"/>
    </row>
    <row r="117" spans="2:9" ht="29.25" thickBot="1">
      <c r="B117" s="41"/>
      <c r="C117" s="42"/>
      <c r="D117" s="42"/>
      <c r="E117" s="42"/>
      <c r="F117" s="42"/>
      <c r="G117" s="42"/>
      <c r="H117" s="42"/>
      <c r="I117" s="43"/>
    </row>
    <row r="118" spans="2:9" ht="29.25" thickBot="1">
      <c r="B118" s="37" t="str">
        <f>T7</f>
        <v xml:space="preserve">Ellyn </v>
      </c>
      <c r="C118" s="14" t="s">
        <v>35</v>
      </c>
      <c r="D118" s="14" t="s">
        <v>35</v>
      </c>
      <c r="E118" s="14" t="s">
        <v>76</v>
      </c>
      <c r="F118" s="14" t="s">
        <v>35</v>
      </c>
      <c r="G118" s="14" t="s">
        <v>35</v>
      </c>
      <c r="H118" s="14" t="s">
        <v>58</v>
      </c>
      <c r="I118" s="39" t="str">
        <f t="shared" ref="I118" si="22">checkHours.checkHours(C118:H118, C119:H119)</f>
        <v>40:00</v>
      </c>
    </row>
    <row r="119" spans="2:9" ht="19.5" thickBot="1">
      <c r="B119" s="38"/>
      <c r="C119" s="15" t="s">
        <v>39</v>
      </c>
      <c r="D119" s="15" t="s">
        <v>39</v>
      </c>
      <c r="E119" s="15"/>
      <c r="F119" s="15" t="s">
        <v>39</v>
      </c>
      <c r="G119" s="15" t="s">
        <v>39</v>
      </c>
      <c r="H119" s="15"/>
      <c r="I119" s="40"/>
    </row>
    <row r="120" spans="2:9" ht="29.25" thickBot="1">
      <c r="B120" s="41"/>
      <c r="C120" s="42"/>
      <c r="D120" s="42"/>
      <c r="E120" s="42"/>
      <c r="F120" s="42"/>
      <c r="G120" s="42"/>
      <c r="H120" s="42"/>
      <c r="I120" s="43"/>
    </row>
    <row r="121" spans="2:9" ht="29.25" thickBot="1">
      <c r="B121" s="37" t="str">
        <f>U7</f>
        <v xml:space="preserve">James </v>
      </c>
      <c r="C121" s="14" t="s">
        <v>40</v>
      </c>
      <c r="D121" s="14" t="s">
        <v>33</v>
      </c>
      <c r="E121" s="14" t="s">
        <v>33</v>
      </c>
      <c r="F121" s="14" t="s">
        <v>33</v>
      </c>
      <c r="G121" s="14" t="s">
        <v>33</v>
      </c>
      <c r="H121" s="14"/>
      <c r="I121" s="39" t="str">
        <f t="shared" ref="I121" si="23">checkHours.checkHours(C121:H121, C122:H122)</f>
        <v>40:00</v>
      </c>
    </row>
    <row r="122" spans="2:9" ht="19.5" thickBot="1">
      <c r="B122" s="38"/>
      <c r="C122" s="15" t="s">
        <v>34</v>
      </c>
      <c r="D122" s="15" t="s">
        <v>34</v>
      </c>
      <c r="E122" s="15" t="s">
        <v>34</v>
      </c>
      <c r="F122" s="15" t="s">
        <v>34</v>
      </c>
      <c r="G122" s="15" t="s">
        <v>34</v>
      </c>
      <c r="H122" s="15"/>
      <c r="I122" s="40"/>
    </row>
    <row r="123" spans="2:9" ht="29.25" thickBot="1">
      <c r="B123" s="41"/>
      <c r="C123" s="42"/>
      <c r="D123" s="42"/>
      <c r="E123" s="42"/>
      <c r="F123" s="42"/>
      <c r="G123" s="42"/>
      <c r="H123" s="42"/>
      <c r="I123" s="43"/>
    </row>
    <row r="124" spans="2:9" ht="29.25" thickBot="1">
      <c r="B124" s="37" t="str">
        <f>V7</f>
        <v xml:space="preserve">Jennifer </v>
      </c>
      <c r="C124" s="14" t="s">
        <v>35</v>
      </c>
      <c r="D124" s="14" t="s">
        <v>73</v>
      </c>
      <c r="E124" s="14" t="s">
        <v>35</v>
      </c>
      <c r="F124" s="14" t="s">
        <v>35</v>
      </c>
      <c r="G124" s="14" t="s">
        <v>35</v>
      </c>
      <c r="H124" s="14" t="s">
        <v>58</v>
      </c>
      <c r="I124" s="39" t="str">
        <f t="shared" ref="I124:I125" si="24">checkHours.checkHours(C124:H124, C125:H125)</f>
        <v>39:30</v>
      </c>
    </row>
    <row r="125" spans="2:9" ht="19.5" thickBot="1">
      <c r="B125" s="38"/>
      <c r="C125" s="15" t="s">
        <v>32</v>
      </c>
      <c r="D125" s="15"/>
      <c r="E125" s="15" t="s">
        <v>32</v>
      </c>
      <c r="F125" s="15" t="s">
        <v>32</v>
      </c>
      <c r="G125" s="15" t="s">
        <v>32</v>
      </c>
      <c r="H125" s="15"/>
      <c r="I125" s="40"/>
    </row>
    <row r="126" spans="2:9" ht="29.25" thickBot="1">
      <c r="B126" s="41" t="s">
        <v>74</v>
      </c>
      <c r="C126" s="42"/>
      <c r="D126" s="42"/>
      <c r="E126" s="42"/>
      <c r="F126" s="42"/>
      <c r="G126" s="42"/>
      <c r="H126" s="42"/>
      <c r="I126" s="43"/>
    </row>
    <row r="127" spans="2:9" ht="29.25" thickBot="1">
      <c r="B127" s="53" t="s">
        <v>12</v>
      </c>
      <c r="C127" s="27">
        <v>0.36458333333333331</v>
      </c>
      <c r="D127" s="14"/>
      <c r="E127" s="27">
        <v>0.36458333333333331</v>
      </c>
      <c r="F127" s="14"/>
      <c r="G127" s="27">
        <v>0.36458333333333331</v>
      </c>
      <c r="H127" s="14"/>
      <c r="I127" s="37"/>
    </row>
    <row r="128" spans="2:9" ht="19.5" thickBot="1">
      <c r="B128" s="54"/>
      <c r="C128" s="15" t="s">
        <v>49</v>
      </c>
      <c r="D128" s="15"/>
      <c r="E128" s="15" t="s">
        <v>15</v>
      </c>
      <c r="F128" s="15"/>
      <c r="G128" s="15" t="s">
        <v>43</v>
      </c>
      <c r="H128" s="15"/>
      <c r="I128" s="38"/>
    </row>
    <row r="129" spans="2:9" ht="29.25" thickBot="1">
      <c r="B129" s="41"/>
      <c r="C129" s="42"/>
      <c r="D129" s="42"/>
      <c r="E129" s="42"/>
      <c r="F129" s="42"/>
      <c r="G129" s="42"/>
      <c r="H129" s="42"/>
      <c r="I129" s="43"/>
    </row>
    <row r="130" spans="2:9" ht="29.25" thickBot="1">
      <c r="B130" s="21" t="s">
        <v>11</v>
      </c>
      <c r="C130" s="23"/>
      <c r="D130" s="23"/>
      <c r="E130" s="23"/>
      <c r="F130" s="23"/>
      <c r="G130" s="23"/>
      <c r="H130" s="23"/>
      <c r="I130" s="24"/>
    </row>
    <row r="131" spans="2:9" ht="27" thickBot="1">
      <c r="B131" s="44"/>
      <c r="C131" s="45"/>
      <c r="D131" s="45"/>
      <c r="E131" s="45"/>
      <c r="F131" s="45"/>
      <c r="G131" s="45"/>
      <c r="H131" s="45"/>
      <c r="I131" s="46"/>
    </row>
    <row r="132" spans="2:9" ht="27" thickBot="1">
      <c r="B132" s="44"/>
      <c r="C132" s="45"/>
      <c r="D132" s="45"/>
      <c r="E132" s="45"/>
      <c r="F132" s="45"/>
      <c r="G132" s="45"/>
      <c r="H132" s="45"/>
      <c r="I132" s="46"/>
    </row>
    <row r="133" spans="2:9" ht="27" thickBot="1">
      <c r="B133" s="44"/>
      <c r="C133" s="45"/>
      <c r="D133" s="45"/>
      <c r="E133" s="45"/>
      <c r="F133" s="45"/>
      <c r="G133" s="45"/>
      <c r="H133" s="45"/>
      <c r="I133" s="46"/>
    </row>
    <row r="134" spans="2:9" ht="27" thickBot="1">
      <c r="B134" s="44"/>
      <c r="C134" s="45"/>
      <c r="D134" s="45"/>
      <c r="E134" s="45"/>
      <c r="F134" s="45"/>
      <c r="G134" s="45"/>
      <c r="H134" s="45"/>
      <c r="I134" s="46"/>
    </row>
    <row r="135" spans="2:9" ht="18.75">
      <c r="B135" s="3"/>
    </row>
    <row r="136" spans="2:9" ht="27" thickBot="1"/>
    <row r="137" spans="2:9" ht="62.25" thickBot="1">
      <c r="B137" s="55"/>
      <c r="C137" s="48" t="str">
        <f>TEXT(E139,"mmmm")</f>
        <v>October</v>
      </c>
      <c r="D137" s="49"/>
      <c r="E137" s="49"/>
      <c r="F137" s="49"/>
      <c r="G137" s="49"/>
      <c r="H137" s="49"/>
      <c r="I137" s="50"/>
    </row>
    <row r="138" spans="2:9" ht="32.25" thickBot="1">
      <c r="B138" s="56"/>
      <c r="C138" s="35" t="s">
        <v>0</v>
      </c>
      <c r="D138" s="35" t="s">
        <v>1</v>
      </c>
      <c r="E138" s="35" t="s">
        <v>2</v>
      </c>
      <c r="F138" s="35" t="s">
        <v>3</v>
      </c>
      <c r="G138" s="35" t="s">
        <v>4</v>
      </c>
      <c r="H138" s="35" t="s">
        <v>5</v>
      </c>
      <c r="I138" s="51" t="s">
        <v>8</v>
      </c>
    </row>
    <row r="139" spans="2:9" ht="19.5" thickBot="1">
      <c r="B139" s="57"/>
      <c r="C139" s="4">
        <f>C108+7</f>
        <v>43402</v>
      </c>
      <c r="D139" s="5">
        <f>C139+1</f>
        <v>43403</v>
      </c>
      <c r="E139" s="5">
        <f>D139+1</f>
        <v>43404</v>
      </c>
      <c r="F139" s="5">
        <f>E139+1</f>
        <v>43405</v>
      </c>
      <c r="G139" s="5">
        <f>F139+1</f>
        <v>43406</v>
      </c>
      <c r="H139" s="17">
        <f>G139+1</f>
        <v>43407</v>
      </c>
      <c r="I139" s="52"/>
    </row>
    <row r="140" spans="2:9" ht="29.25" thickBot="1">
      <c r="B140" s="37" t="str">
        <f>Q7</f>
        <v xml:space="preserve">Anthony </v>
      </c>
      <c r="C140" s="14" t="s">
        <v>30</v>
      </c>
      <c r="D140" s="14" t="s">
        <v>30</v>
      </c>
      <c r="E140" s="14" t="s">
        <v>30</v>
      </c>
      <c r="F140" s="14" t="s">
        <v>30</v>
      </c>
      <c r="G140" s="14" t="s">
        <v>30</v>
      </c>
      <c r="H140" s="14" t="s">
        <v>62</v>
      </c>
      <c r="I140" s="39" t="str">
        <f t="shared" ref="I140" si="25">checkHours.checkHours(C140:H140, C141:H141)</f>
        <v>40:00</v>
      </c>
    </row>
    <row r="141" spans="2:9" ht="19.5" thickBot="1">
      <c r="B141" s="38"/>
      <c r="C141" s="15" t="s">
        <v>31</v>
      </c>
      <c r="D141" s="15" t="s">
        <v>31</v>
      </c>
      <c r="E141" s="15" t="s">
        <v>31</v>
      </c>
      <c r="F141" s="15" t="s">
        <v>31</v>
      </c>
      <c r="G141" s="15" t="s">
        <v>31</v>
      </c>
      <c r="H141" s="15"/>
      <c r="I141" s="40"/>
    </row>
    <row r="142" spans="2:9" ht="29.25" thickBot="1">
      <c r="B142" s="41"/>
      <c r="C142" s="42"/>
      <c r="D142" s="42"/>
      <c r="E142" s="42"/>
      <c r="F142" s="42"/>
      <c r="G142" s="42"/>
      <c r="H142" s="42"/>
      <c r="I142" s="43"/>
    </row>
    <row r="143" spans="2:9" ht="29.25" thickBot="1">
      <c r="B143" s="37" t="str">
        <f>R7</f>
        <v xml:space="preserve">Eliza </v>
      </c>
      <c r="C143" s="14" t="s">
        <v>28</v>
      </c>
      <c r="D143" s="14" t="s">
        <v>36</v>
      </c>
      <c r="E143" s="14" t="s">
        <v>28</v>
      </c>
      <c r="F143" s="14" t="s">
        <v>38</v>
      </c>
      <c r="G143" s="14" t="s">
        <v>28</v>
      </c>
      <c r="H143" s="14" t="s">
        <v>78</v>
      </c>
      <c r="I143" s="39" t="str">
        <f t="shared" ref="I143" si="26">checkHours.checkHours(C143:H143, C144:H144)</f>
        <v>39:30</v>
      </c>
    </row>
    <row r="144" spans="2:9" ht="19.5" thickBot="1">
      <c r="B144" s="38"/>
      <c r="C144" s="15" t="s">
        <v>29</v>
      </c>
      <c r="D144" s="15" t="s">
        <v>29</v>
      </c>
      <c r="E144" s="15" t="s">
        <v>29</v>
      </c>
      <c r="F144" s="15" t="s">
        <v>29</v>
      </c>
      <c r="G144" s="15" t="s">
        <v>29</v>
      </c>
      <c r="H144" s="15"/>
      <c r="I144" s="40"/>
    </row>
    <row r="145" spans="2:9" ht="29.25" thickBot="1">
      <c r="B145" s="41"/>
      <c r="C145" s="42"/>
      <c r="D145" s="42"/>
      <c r="E145" s="42"/>
      <c r="F145" s="42"/>
      <c r="G145" s="42"/>
      <c r="H145" s="42"/>
      <c r="I145" s="43"/>
    </row>
    <row r="146" spans="2:9" ht="29.25" thickBot="1">
      <c r="B146" s="37" t="str">
        <f>S7</f>
        <v xml:space="preserve">Sara </v>
      </c>
      <c r="C146" s="14" t="s">
        <v>28</v>
      </c>
      <c r="D146" s="14" t="s">
        <v>38</v>
      </c>
      <c r="E146" s="14" t="s">
        <v>28</v>
      </c>
      <c r="F146" s="14" t="s">
        <v>36</v>
      </c>
      <c r="G146" s="14" t="s">
        <v>28</v>
      </c>
      <c r="H146" s="14"/>
      <c r="I146" s="39" t="str">
        <f t="shared" ref="I146" si="27">checkHours.checkHours(C146:H146, C147:H147)</f>
        <v>39:30</v>
      </c>
    </row>
    <row r="147" spans="2:9" ht="19.5" thickBot="1">
      <c r="B147" s="38"/>
      <c r="C147" s="15" t="s">
        <v>37</v>
      </c>
      <c r="D147" s="15" t="s">
        <v>37</v>
      </c>
      <c r="E147" s="15" t="s">
        <v>37</v>
      </c>
      <c r="F147" s="15" t="s">
        <v>37</v>
      </c>
      <c r="G147" s="15" t="s">
        <v>37</v>
      </c>
      <c r="H147" s="15"/>
      <c r="I147" s="40"/>
    </row>
    <row r="148" spans="2:9" ht="29.25" thickBot="1">
      <c r="B148" s="41"/>
      <c r="C148" s="42"/>
      <c r="D148" s="42"/>
      <c r="E148" s="42"/>
      <c r="F148" s="42"/>
      <c r="G148" s="42"/>
      <c r="H148" s="42"/>
      <c r="I148" s="43"/>
    </row>
    <row r="149" spans="2:9" ht="29.25" thickBot="1">
      <c r="B149" s="37" t="str">
        <f>T7</f>
        <v xml:space="preserve">Ellyn </v>
      </c>
      <c r="C149" s="14" t="s">
        <v>35</v>
      </c>
      <c r="D149" s="14" t="s">
        <v>35</v>
      </c>
      <c r="E149" s="14" t="s">
        <v>35</v>
      </c>
      <c r="F149" s="14" t="s">
        <v>35</v>
      </c>
      <c r="G149" s="14" t="s">
        <v>35</v>
      </c>
      <c r="H149" s="14"/>
      <c r="I149" s="39" t="str">
        <f t="shared" ref="I149" si="28">checkHours.checkHours(C149:H149, C150:H150)</f>
        <v>40:00</v>
      </c>
    </row>
    <row r="150" spans="2:9" ht="19.5" thickBot="1">
      <c r="B150" s="38"/>
      <c r="C150" s="15" t="s">
        <v>39</v>
      </c>
      <c r="D150" s="15" t="s">
        <v>39</v>
      </c>
      <c r="E150" s="15" t="s">
        <v>39</v>
      </c>
      <c r="F150" s="15" t="s">
        <v>39</v>
      </c>
      <c r="G150" s="15" t="s">
        <v>39</v>
      </c>
      <c r="H150" s="15"/>
      <c r="I150" s="40"/>
    </row>
    <row r="151" spans="2:9" ht="29.25" thickBot="1">
      <c r="B151" s="41"/>
      <c r="C151" s="42"/>
      <c r="D151" s="42"/>
      <c r="E151" s="42"/>
      <c r="F151" s="42"/>
      <c r="G151" s="42"/>
      <c r="H151" s="42"/>
      <c r="I151" s="43"/>
    </row>
    <row r="152" spans="2:9" ht="29.25" thickBot="1">
      <c r="B152" s="37" t="str">
        <f>U7</f>
        <v xml:space="preserve">James </v>
      </c>
      <c r="C152" s="14" t="s">
        <v>40</v>
      </c>
      <c r="D152" s="14" t="s">
        <v>33</v>
      </c>
      <c r="E152" s="14" t="s">
        <v>33</v>
      </c>
      <c r="F152" s="14" t="s">
        <v>33</v>
      </c>
      <c r="G152" s="14" t="s">
        <v>33</v>
      </c>
      <c r="H152" s="14"/>
      <c r="I152" s="39" t="str">
        <f t="shared" ref="I152" si="29">checkHours.checkHours(C152:H152, C153:H153)</f>
        <v>40:00</v>
      </c>
    </row>
    <row r="153" spans="2:9" ht="19.5" thickBot="1">
      <c r="B153" s="38"/>
      <c r="C153" s="15" t="s">
        <v>34</v>
      </c>
      <c r="D153" s="15" t="s">
        <v>34</v>
      </c>
      <c r="E153" s="15" t="s">
        <v>34</v>
      </c>
      <c r="F153" s="15" t="s">
        <v>34</v>
      </c>
      <c r="G153" s="15" t="s">
        <v>34</v>
      </c>
      <c r="H153" s="15"/>
      <c r="I153" s="40"/>
    </row>
    <row r="154" spans="2:9" ht="29.25" thickBot="1">
      <c r="B154" s="41"/>
      <c r="C154" s="42"/>
      <c r="D154" s="42"/>
      <c r="E154" s="42"/>
      <c r="F154" s="42"/>
      <c r="G154" s="42"/>
      <c r="H154" s="42"/>
      <c r="I154" s="43"/>
    </row>
    <row r="155" spans="2:9" ht="29.25" thickBot="1">
      <c r="B155" s="37" t="str">
        <f>V7</f>
        <v xml:space="preserve">Jennifer </v>
      </c>
      <c r="C155" s="14" t="s">
        <v>35</v>
      </c>
      <c r="D155" s="14" t="s">
        <v>35</v>
      </c>
      <c r="E155" s="14" t="s">
        <v>35</v>
      </c>
      <c r="F155" s="14" t="s">
        <v>35</v>
      </c>
      <c r="G155" s="14" t="s">
        <v>35</v>
      </c>
      <c r="H155" s="14"/>
      <c r="I155" s="39" t="str">
        <f t="shared" ref="I155:I156" si="30">checkHours.checkHours(C155:H155, C156:H156)</f>
        <v>40:00</v>
      </c>
    </row>
    <row r="156" spans="2:9" ht="19.5" thickBot="1">
      <c r="B156" s="38"/>
      <c r="C156" s="15" t="s">
        <v>32</v>
      </c>
      <c r="D156" s="15" t="s">
        <v>32</v>
      </c>
      <c r="E156" s="15" t="s">
        <v>32</v>
      </c>
      <c r="F156" s="15" t="s">
        <v>32</v>
      </c>
      <c r="G156" s="15" t="s">
        <v>32</v>
      </c>
      <c r="H156" s="15"/>
      <c r="I156" s="40"/>
    </row>
    <row r="157" spans="2:9" ht="29.25" thickBot="1">
      <c r="B157" s="41"/>
      <c r="C157" s="42"/>
      <c r="D157" s="42"/>
      <c r="E157" s="42"/>
      <c r="F157" s="42"/>
      <c r="G157" s="42"/>
      <c r="H157" s="42"/>
      <c r="I157" s="43"/>
    </row>
    <row r="158" spans="2:9" ht="29.25" thickBot="1">
      <c r="B158" s="53" t="s">
        <v>12</v>
      </c>
      <c r="C158" s="27">
        <v>0.36458333333333331</v>
      </c>
      <c r="D158" s="14"/>
      <c r="E158" s="27">
        <v>0.36458333333333331</v>
      </c>
      <c r="F158" s="14"/>
      <c r="G158" s="27">
        <v>0.36458333333333331</v>
      </c>
      <c r="H158" s="14"/>
      <c r="I158" s="37"/>
    </row>
    <row r="159" spans="2:9" ht="19.5" thickBot="1">
      <c r="B159" s="54"/>
      <c r="C159" s="15" t="s">
        <v>60</v>
      </c>
      <c r="D159" s="15"/>
      <c r="E159" s="15" t="s">
        <v>15</v>
      </c>
      <c r="F159" s="15"/>
      <c r="G159" s="15" t="s">
        <v>44</v>
      </c>
      <c r="H159" s="15"/>
      <c r="I159" s="38"/>
    </row>
    <row r="160" spans="2:9" ht="29.25" thickBot="1">
      <c r="B160" s="41"/>
      <c r="C160" s="42"/>
      <c r="D160" s="42"/>
      <c r="E160" s="42"/>
      <c r="F160" s="42"/>
      <c r="G160" s="42"/>
      <c r="H160" s="42"/>
      <c r="I160" s="43"/>
    </row>
    <row r="161" spans="2:9" ht="29.25" thickBot="1">
      <c r="B161" s="21" t="s">
        <v>11</v>
      </c>
      <c r="C161" s="23"/>
      <c r="D161" s="23"/>
      <c r="E161" s="23"/>
      <c r="F161" s="23"/>
      <c r="G161" s="23" t="s">
        <v>70</v>
      </c>
      <c r="H161" s="23"/>
      <c r="I161" s="24"/>
    </row>
    <row r="162" spans="2:9" ht="27" thickBot="1">
      <c r="B162" s="44" t="s">
        <v>77</v>
      </c>
      <c r="C162" s="45"/>
      <c r="D162" s="45"/>
      <c r="E162" s="45"/>
      <c r="F162" s="45"/>
      <c r="G162" s="45"/>
      <c r="H162" s="45"/>
      <c r="I162" s="46"/>
    </row>
    <row r="163" spans="2:9" ht="27" thickBot="1">
      <c r="B163" s="44"/>
      <c r="C163" s="45"/>
      <c r="D163" s="45"/>
      <c r="E163" s="45"/>
      <c r="F163" s="45"/>
      <c r="G163" s="45"/>
      <c r="H163" s="45"/>
      <c r="I163" s="46"/>
    </row>
    <row r="164" spans="2:9" ht="27" thickBot="1">
      <c r="B164" s="44"/>
      <c r="C164" s="45"/>
      <c r="D164" s="45"/>
      <c r="E164" s="45"/>
      <c r="F164" s="45"/>
      <c r="G164" s="45"/>
      <c r="H164" s="45"/>
      <c r="I164" s="46"/>
    </row>
    <row r="165" spans="2:9" ht="27" thickBot="1">
      <c r="B165" s="44"/>
      <c r="C165" s="45"/>
      <c r="D165" s="45"/>
      <c r="E165" s="45"/>
      <c r="F165" s="45"/>
      <c r="G165" s="45"/>
      <c r="H165" s="45"/>
      <c r="I165" s="46"/>
    </row>
    <row r="166" spans="2:9" ht="18.75">
      <c r="B166" s="3"/>
    </row>
    <row r="167" spans="2:9" ht="27" thickBot="1"/>
    <row r="168" spans="2:9" ht="62.25" thickBot="1">
      <c r="B168" s="55"/>
      <c r="C168" s="48" t="str">
        <f>TEXT(E170,"mmmm")</f>
        <v>November</v>
      </c>
      <c r="D168" s="49"/>
      <c r="E168" s="49"/>
      <c r="F168" s="49"/>
      <c r="G168" s="49"/>
      <c r="H168" s="49"/>
      <c r="I168" s="50"/>
    </row>
    <row r="169" spans="2:9" ht="32.25" thickBot="1">
      <c r="B169" s="56"/>
      <c r="C169" s="35" t="s">
        <v>0</v>
      </c>
      <c r="D169" s="35" t="s">
        <v>1</v>
      </c>
      <c r="E169" s="35" t="s">
        <v>2</v>
      </c>
      <c r="F169" s="35" t="s">
        <v>3</v>
      </c>
      <c r="G169" s="35" t="s">
        <v>4</v>
      </c>
      <c r="H169" s="35" t="s">
        <v>5</v>
      </c>
      <c r="I169" s="51" t="s">
        <v>8</v>
      </c>
    </row>
    <row r="170" spans="2:9" ht="19.5" thickBot="1">
      <c r="B170" s="57"/>
      <c r="C170" s="4">
        <f>C139+7</f>
        <v>43409</v>
      </c>
      <c r="D170" s="5">
        <f>C170+1</f>
        <v>43410</v>
      </c>
      <c r="E170" s="5">
        <f>D170+1</f>
        <v>43411</v>
      </c>
      <c r="F170" s="5">
        <f>E170+1</f>
        <v>43412</v>
      </c>
      <c r="G170" s="5">
        <f>F170+1</f>
        <v>43413</v>
      </c>
      <c r="H170" s="17">
        <f>G170+1</f>
        <v>43414</v>
      </c>
      <c r="I170" s="52"/>
    </row>
    <row r="171" spans="2:9" ht="29.25" thickBot="1">
      <c r="B171" s="37" t="str">
        <f>Q7</f>
        <v xml:space="preserve">Anthony </v>
      </c>
      <c r="C171" s="14" t="s">
        <v>30</v>
      </c>
      <c r="D171" s="14" t="s">
        <v>30</v>
      </c>
      <c r="E171" s="14" t="s">
        <v>30</v>
      </c>
      <c r="F171" s="14" t="s">
        <v>30</v>
      </c>
      <c r="G171" s="14" t="s">
        <v>30</v>
      </c>
      <c r="H171" s="14" t="s">
        <v>79</v>
      </c>
      <c r="I171" s="39" t="str">
        <f t="shared" ref="I171" si="31">checkHours.checkHours(C171:H171, C172:H172)</f>
        <v>40:00</v>
      </c>
    </row>
    <row r="172" spans="2:9" ht="19.5" thickBot="1">
      <c r="B172" s="38"/>
      <c r="C172" s="15" t="s">
        <v>31</v>
      </c>
      <c r="D172" s="15" t="s">
        <v>31</v>
      </c>
      <c r="E172" s="15" t="s">
        <v>31</v>
      </c>
      <c r="F172" s="15" t="s">
        <v>31</v>
      </c>
      <c r="G172" s="15" t="s">
        <v>31</v>
      </c>
      <c r="H172" s="15"/>
      <c r="I172" s="40"/>
    </row>
    <row r="173" spans="2:9" ht="29.25" thickBot="1">
      <c r="B173" s="41"/>
      <c r="C173" s="42"/>
      <c r="D173" s="42"/>
      <c r="E173" s="42"/>
      <c r="F173" s="42"/>
      <c r="G173" s="42"/>
      <c r="H173" s="42"/>
      <c r="I173" s="43"/>
    </row>
    <row r="174" spans="2:9" ht="29.25" thickBot="1">
      <c r="B174" s="37" t="str">
        <f>R7</f>
        <v xml:space="preserve">Eliza </v>
      </c>
      <c r="C174" s="14" t="s">
        <v>28</v>
      </c>
      <c r="D174" s="14" t="s">
        <v>36</v>
      </c>
      <c r="E174" s="14" t="s">
        <v>28</v>
      </c>
      <c r="F174" s="14" t="s">
        <v>38</v>
      </c>
      <c r="G174" s="14" t="s">
        <v>28</v>
      </c>
      <c r="H174" s="14" t="s">
        <v>63</v>
      </c>
      <c r="I174" s="39" t="str">
        <f t="shared" ref="I174" si="32">checkHours.checkHours(C174:H174, C175:H175)</f>
        <v>39:30</v>
      </c>
    </row>
    <row r="175" spans="2:9" ht="19.5" thickBot="1">
      <c r="B175" s="38"/>
      <c r="C175" s="15" t="s">
        <v>29</v>
      </c>
      <c r="D175" s="15" t="s">
        <v>29</v>
      </c>
      <c r="E175" s="15" t="s">
        <v>29</v>
      </c>
      <c r="F175" s="15" t="s">
        <v>29</v>
      </c>
      <c r="G175" s="15" t="s">
        <v>29</v>
      </c>
      <c r="H175" s="15"/>
      <c r="I175" s="40"/>
    </row>
    <row r="176" spans="2:9" ht="29.25" thickBot="1">
      <c r="B176" s="41"/>
      <c r="C176" s="42"/>
      <c r="D176" s="42"/>
      <c r="E176" s="42"/>
      <c r="F176" s="42"/>
      <c r="G176" s="42"/>
      <c r="H176" s="42"/>
      <c r="I176" s="43"/>
    </row>
    <row r="177" spans="2:9" ht="29.25" thickBot="1">
      <c r="B177" s="37" t="str">
        <f>S7</f>
        <v xml:space="preserve">Sara </v>
      </c>
      <c r="C177" s="14" t="s">
        <v>28</v>
      </c>
      <c r="D177" s="14" t="s">
        <v>38</v>
      </c>
      <c r="E177" s="14" t="s">
        <v>28</v>
      </c>
      <c r="F177" s="14" t="s">
        <v>80</v>
      </c>
      <c r="G177" s="14" t="s">
        <v>28</v>
      </c>
      <c r="H177" s="14" t="s">
        <v>58</v>
      </c>
      <c r="I177" s="39" t="str">
        <f t="shared" ref="I177" si="33">checkHours.checkHours(C177:H177, C178:H178)</f>
        <v>39:30</v>
      </c>
    </row>
    <row r="178" spans="2:9" ht="19.5" thickBot="1">
      <c r="B178" s="38"/>
      <c r="C178" s="15" t="s">
        <v>37</v>
      </c>
      <c r="D178" s="15" t="s">
        <v>37</v>
      </c>
      <c r="E178" s="15" t="s">
        <v>37</v>
      </c>
      <c r="F178" s="15" t="s">
        <v>37</v>
      </c>
      <c r="G178" s="15" t="s">
        <v>37</v>
      </c>
      <c r="H178" s="15"/>
      <c r="I178" s="40"/>
    </row>
    <row r="179" spans="2:9" ht="29.25" thickBot="1">
      <c r="B179" s="41"/>
      <c r="C179" s="42"/>
      <c r="D179" s="42"/>
      <c r="E179" s="42"/>
      <c r="F179" s="42"/>
      <c r="G179" s="42"/>
      <c r="H179" s="42"/>
      <c r="I179" s="43"/>
    </row>
    <row r="180" spans="2:9" ht="29.25" thickBot="1">
      <c r="B180" s="37" t="str">
        <f>T7</f>
        <v xml:space="preserve">Ellyn </v>
      </c>
      <c r="C180" s="14" t="s">
        <v>35</v>
      </c>
      <c r="D180" s="14" t="s">
        <v>35</v>
      </c>
      <c r="E180" s="14" t="s">
        <v>35</v>
      </c>
      <c r="F180" s="14" t="s">
        <v>35</v>
      </c>
      <c r="G180" s="14" t="s">
        <v>35</v>
      </c>
      <c r="H180" s="14"/>
      <c r="I180" s="39" t="str">
        <f t="shared" ref="I180" si="34">checkHours.checkHours(C180:H180, C181:H181)</f>
        <v>40:00</v>
      </c>
    </row>
    <row r="181" spans="2:9" ht="19.5" thickBot="1">
      <c r="B181" s="38"/>
      <c r="C181" s="15" t="s">
        <v>39</v>
      </c>
      <c r="D181" s="15" t="s">
        <v>39</v>
      </c>
      <c r="E181" s="15" t="s">
        <v>39</v>
      </c>
      <c r="F181" s="15" t="s">
        <v>39</v>
      </c>
      <c r="G181" s="15" t="s">
        <v>39</v>
      </c>
      <c r="H181" s="15"/>
      <c r="I181" s="40"/>
    </row>
    <row r="182" spans="2:9" ht="29.25" thickBot="1">
      <c r="B182" s="41"/>
      <c r="C182" s="42"/>
      <c r="D182" s="42"/>
      <c r="E182" s="42"/>
      <c r="F182" s="42"/>
      <c r="G182" s="42"/>
      <c r="H182" s="42"/>
      <c r="I182" s="43"/>
    </row>
    <row r="183" spans="2:9" ht="29.25" thickBot="1">
      <c r="B183" s="37" t="str">
        <f>U7</f>
        <v xml:space="preserve">James </v>
      </c>
      <c r="C183" s="14" t="s">
        <v>40</v>
      </c>
      <c r="D183" s="14" t="s">
        <v>33</v>
      </c>
      <c r="E183" s="14" t="s">
        <v>33</v>
      </c>
      <c r="F183" s="14" t="s">
        <v>33</v>
      </c>
      <c r="G183" s="14" t="s">
        <v>33</v>
      </c>
      <c r="H183" s="14"/>
      <c r="I183" s="39" t="str">
        <f t="shared" ref="I183" si="35">checkHours.checkHours(C183:H183, C184:H184)</f>
        <v>40:00</v>
      </c>
    </row>
    <row r="184" spans="2:9" ht="19.5" thickBot="1">
      <c r="B184" s="38"/>
      <c r="C184" s="15" t="s">
        <v>34</v>
      </c>
      <c r="D184" s="15" t="s">
        <v>34</v>
      </c>
      <c r="E184" s="15" t="s">
        <v>34</v>
      </c>
      <c r="F184" s="15" t="s">
        <v>34</v>
      </c>
      <c r="G184" s="15" t="s">
        <v>34</v>
      </c>
      <c r="H184" s="15"/>
      <c r="I184" s="40"/>
    </row>
    <row r="185" spans="2:9" ht="29.25" thickBot="1">
      <c r="B185" s="41"/>
      <c r="C185" s="42"/>
      <c r="D185" s="42"/>
      <c r="E185" s="42"/>
      <c r="F185" s="42"/>
      <c r="G185" s="42"/>
      <c r="H185" s="42"/>
      <c r="I185" s="43"/>
    </row>
    <row r="186" spans="2:9" ht="29.25" thickBot="1">
      <c r="B186" s="37" t="str">
        <f>V7</f>
        <v xml:space="preserve">Jennifer </v>
      </c>
      <c r="C186" s="14" t="s">
        <v>35</v>
      </c>
      <c r="D186" s="14" t="s">
        <v>35</v>
      </c>
      <c r="E186" s="14" t="s">
        <v>35</v>
      </c>
      <c r="F186" s="14" t="s">
        <v>35</v>
      </c>
      <c r="G186" s="14" t="s">
        <v>35</v>
      </c>
      <c r="H186" s="14"/>
      <c r="I186" s="39" t="str">
        <f t="shared" ref="I186:I187" si="36">checkHours.checkHours(C186:H186, C187:H187)</f>
        <v>40:00</v>
      </c>
    </row>
    <row r="187" spans="2:9" ht="19.5" thickBot="1">
      <c r="B187" s="38"/>
      <c r="C187" s="15" t="s">
        <v>32</v>
      </c>
      <c r="D187" s="15" t="s">
        <v>32</v>
      </c>
      <c r="E187" s="15" t="s">
        <v>32</v>
      </c>
      <c r="F187" s="15" t="s">
        <v>32</v>
      </c>
      <c r="G187" s="15" t="s">
        <v>32</v>
      </c>
      <c r="H187" s="15"/>
      <c r="I187" s="40"/>
    </row>
    <row r="188" spans="2:9" ht="29.25" thickBot="1">
      <c r="B188" s="41"/>
      <c r="C188" s="42"/>
      <c r="D188" s="42"/>
      <c r="E188" s="42"/>
      <c r="F188" s="42"/>
      <c r="G188" s="42"/>
      <c r="H188" s="42"/>
      <c r="I188" s="43"/>
    </row>
    <row r="189" spans="2:9" ht="29.25" thickBot="1">
      <c r="B189" s="53" t="s">
        <v>12</v>
      </c>
      <c r="C189" s="27">
        <v>0.36458333333333331</v>
      </c>
      <c r="D189" s="14"/>
      <c r="E189" s="27">
        <v>0.36458333333333331</v>
      </c>
      <c r="F189" s="14"/>
      <c r="G189" s="27">
        <v>0.36458333333333331</v>
      </c>
      <c r="H189" s="14"/>
      <c r="I189" s="37"/>
    </row>
    <row r="190" spans="2:9" ht="19.5" thickBot="1">
      <c r="B190" s="54"/>
      <c r="C190" s="15" t="s">
        <v>47</v>
      </c>
      <c r="D190" s="15"/>
      <c r="E190" s="15" t="s">
        <v>15</v>
      </c>
      <c r="F190" s="15"/>
      <c r="G190" s="15" t="s">
        <v>45</v>
      </c>
      <c r="H190" s="15"/>
      <c r="I190" s="38"/>
    </row>
    <row r="191" spans="2:9" ht="29.25" thickBot="1">
      <c r="B191" s="41"/>
      <c r="C191" s="42"/>
      <c r="D191" s="42"/>
      <c r="E191" s="42"/>
      <c r="F191" s="42"/>
      <c r="G191" s="42"/>
      <c r="H191" s="42"/>
      <c r="I191" s="43"/>
    </row>
    <row r="192" spans="2:9" ht="29.25" thickBot="1">
      <c r="B192" s="21" t="s">
        <v>11</v>
      </c>
      <c r="C192" s="23"/>
      <c r="D192" s="23"/>
      <c r="E192" s="23"/>
      <c r="F192" s="23"/>
      <c r="G192" s="23"/>
      <c r="H192" s="23"/>
      <c r="I192" s="24"/>
    </row>
    <row r="193" spans="2:9" ht="27" thickBot="1">
      <c r="B193" s="44"/>
      <c r="C193" s="45"/>
      <c r="D193" s="45"/>
      <c r="E193" s="45"/>
      <c r="F193" s="45"/>
      <c r="G193" s="45"/>
      <c r="H193" s="45"/>
      <c r="I193" s="46"/>
    </row>
    <row r="194" spans="2:9" ht="27" thickBot="1">
      <c r="B194" s="44"/>
      <c r="C194" s="45"/>
      <c r="D194" s="45"/>
      <c r="E194" s="45"/>
      <c r="F194" s="45"/>
      <c r="G194" s="45"/>
      <c r="H194" s="45"/>
      <c r="I194" s="46"/>
    </row>
    <row r="195" spans="2:9" ht="27" thickBot="1">
      <c r="B195" s="44"/>
      <c r="C195" s="45"/>
      <c r="D195" s="45"/>
      <c r="E195" s="45"/>
      <c r="F195" s="45"/>
      <c r="G195" s="45"/>
      <c r="H195" s="45"/>
      <c r="I195" s="46"/>
    </row>
    <row r="196" spans="2:9" ht="27" thickBot="1">
      <c r="B196" s="44"/>
      <c r="C196" s="45"/>
      <c r="D196" s="45"/>
      <c r="E196" s="45"/>
      <c r="F196" s="45"/>
      <c r="G196" s="45"/>
      <c r="H196" s="45"/>
      <c r="I196" s="46"/>
    </row>
  </sheetData>
  <sheetProtection sheet="1" objects="1" scenarios="1" selectLockedCells="1"/>
  <mergeCells count="200">
    <mergeCell ref="B186:B187"/>
    <mergeCell ref="I186:I187"/>
    <mergeCell ref="B188:I188"/>
    <mergeCell ref="B183:B184"/>
    <mergeCell ref="I183:I184"/>
    <mergeCell ref="B185:I185"/>
    <mergeCell ref="P31:P32"/>
    <mergeCell ref="W31:W32"/>
    <mergeCell ref="B31:B32"/>
    <mergeCell ref="I31:I32"/>
    <mergeCell ref="B62:B63"/>
    <mergeCell ref="I62:I63"/>
    <mergeCell ref="B64:I64"/>
    <mergeCell ref="B93:B94"/>
    <mergeCell ref="I93:I94"/>
    <mergeCell ref="B95:I95"/>
    <mergeCell ref="B124:B125"/>
    <mergeCell ref="I124:I125"/>
    <mergeCell ref="B126:I126"/>
    <mergeCell ref="B155:B156"/>
    <mergeCell ref="I155:I156"/>
    <mergeCell ref="B157:I157"/>
    <mergeCell ref="B180:B181"/>
    <mergeCell ref="I180:I181"/>
    <mergeCell ref="B182:I182"/>
    <mergeCell ref="B59:B60"/>
    <mergeCell ref="I59:I60"/>
    <mergeCell ref="B61:I61"/>
    <mergeCell ref="B90:B91"/>
    <mergeCell ref="I90:I91"/>
    <mergeCell ref="B92:I92"/>
    <mergeCell ref="B121:B122"/>
    <mergeCell ref="I121:I122"/>
    <mergeCell ref="B123:I123"/>
    <mergeCell ref="B152:B153"/>
    <mergeCell ref="I152:I153"/>
    <mergeCell ref="B154:I154"/>
    <mergeCell ref="B146:B147"/>
    <mergeCell ref="I146:I147"/>
    <mergeCell ref="B148:I148"/>
    <mergeCell ref="B177:B178"/>
    <mergeCell ref="I177:I178"/>
    <mergeCell ref="B179:I179"/>
    <mergeCell ref="B25:B26"/>
    <mergeCell ref="I25:I26"/>
    <mergeCell ref="B27:I27"/>
    <mergeCell ref="B56:B57"/>
    <mergeCell ref="I56:I57"/>
    <mergeCell ref="B58:I58"/>
    <mergeCell ref="B87:B88"/>
    <mergeCell ref="I87:I88"/>
    <mergeCell ref="B89:I89"/>
    <mergeCell ref="B118:B119"/>
    <mergeCell ref="I118:I119"/>
    <mergeCell ref="B120:I120"/>
    <mergeCell ref="B149:B150"/>
    <mergeCell ref="I149:I150"/>
    <mergeCell ref="B151:I151"/>
    <mergeCell ref="B47:B48"/>
    <mergeCell ref="I47:I48"/>
    <mergeCell ref="B49:I49"/>
    <mergeCell ref="B78:B79"/>
    <mergeCell ref="I78:I79"/>
    <mergeCell ref="B80:I80"/>
    <mergeCell ref="B109:B110"/>
    <mergeCell ref="I109:I110"/>
    <mergeCell ref="B111:I111"/>
    <mergeCell ref="B140:B141"/>
    <mergeCell ref="I140:I141"/>
    <mergeCell ref="B142:I142"/>
    <mergeCell ref="B171:B172"/>
    <mergeCell ref="I171:I172"/>
    <mergeCell ref="B173:I173"/>
    <mergeCell ref="B50:B51"/>
    <mergeCell ref="I50:I51"/>
    <mergeCell ref="B52:I52"/>
    <mergeCell ref="B81:B82"/>
    <mergeCell ref="I81:I82"/>
    <mergeCell ref="B83:I83"/>
    <mergeCell ref="B174:B175"/>
    <mergeCell ref="I174:I175"/>
    <mergeCell ref="B176:I176"/>
    <mergeCell ref="B112:B113"/>
    <mergeCell ref="I112:I113"/>
    <mergeCell ref="B114:I114"/>
    <mergeCell ref="B143:B144"/>
    <mergeCell ref="I143:I144"/>
    <mergeCell ref="B145:I145"/>
    <mergeCell ref="B84:B85"/>
    <mergeCell ref="I84:I85"/>
    <mergeCell ref="B86:I86"/>
    <mergeCell ref="B115:B116"/>
    <mergeCell ref="I115:I116"/>
    <mergeCell ref="B117:I117"/>
    <mergeCell ref="P28:P29"/>
    <mergeCell ref="W28:W29"/>
    <mergeCell ref="P30:W30"/>
    <mergeCell ref="B24:I24"/>
    <mergeCell ref="P33:W33"/>
    <mergeCell ref="B69:I69"/>
    <mergeCell ref="P24:W24"/>
    <mergeCell ref="I1:I2"/>
    <mergeCell ref="B1:B2"/>
    <mergeCell ref="C13:I13"/>
    <mergeCell ref="B13:B15"/>
    <mergeCell ref="I14:I15"/>
    <mergeCell ref="B3:I3"/>
    <mergeCell ref="P13:P15"/>
    <mergeCell ref="Q13:V13"/>
    <mergeCell ref="W14:W15"/>
    <mergeCell ref="R14:R15"/>
    <mergeCell ref="S14:S15"/>
    <mergeCell ref="T14:T15"/>
    <mergeCell ref="U14:U15"/>
    <mergeCell ref="V14:V15"/>
    <mergeCell ref="Q14:Q15"/>
    <mergeCell ref="B19:B20"/>
    <mergeCell ref="I19:I20"/>
    <mergeCell ref="B39:I39"/>
    <mergeCell ref="P16:P17"/>
    <mergeCell ref="W16:W17"/>
    <mergeCell ref="P18:W18"/>
    <mergeCell ref="I107:I108"/>
    <mergeCell ref="B133:I133"/>
    <mergeCell ref="B21:I21"/>
    <mergeCell ref="P21:W21"/>
    <mergeCell ref="B34:B35"/>
    <mergeCell ref="I34:I35"/>
    <mergeCell ref="B36:I36"/>
    <mergeCell ref="I16:I17"/>
    <mergeCell ref="B18:I18"/>
    <mergeCell ref="P34:P35"/>
    <mergeCell ref="W34:W35"/>
    <mergeCell ref="K28:K29"/>
    <mergeCell ref="W19:W20"/>
    <mergeCell ref="B16:B17"/>
    <mergeCell ref="P19:P20"/>
    <mergeCell ref="P22:P23"/>
    <mergeCell ref="W22:W23"/>
    <mergeCell ref="B22:B23"/>
    <mergeCell ref="I22:I23"/>
    <mergeCell ref="B193:I193"/>
    <mergeCell ref="B168:B170"/>
    <mergeCell ref="C168:I168"/>
    <mergeCell ref="B70:I70"/>
    <mergeCell ref="B101:I101"/>
    <mergeCell ref="B163:I163"/>
    <mergeCell ref="B132:I132"/>
    <mergeCell ref="B28:B29"/>
    <mergeCell ref="I28:I29"/>
    <mergeCell ref="B30:I30"/>
    <mergeCell ref="P25:P26"/>
    <mergeCell ref="W25:W26"/>
    <mergeCell ref="P27:W27"/>
    <mergeCell ref="B103:I103"/>
    <mergeCell ref="B134:I134"/>
    <mergeCell ref="B102:I102"/>
    <mergeCell ref="B106:B108"/>
    <mergeCell ref="C106:I106"/>
    <mergeCell ref="B131:I131"/>
    <mergeCell ref="B137:B139"/>
    <mergeCell ref="C137:I137"/>
    <mergeCell ref="I138:I139"/>
    <mergeCell ref="B162:I162"/>
    <mergeCell ref="B165:I165"/>
    <mergeCell ref="B100:I100"/>
    <mergeCell ref="B164:I164"/>
    <mergeCell ref="B160:I160"/>
    <mergeCell ref="B41:I41"/>
    <mergeCell ref="I158:I159"/>
    <mergeCell ref="B195:I195"/>
    <mergeCell ref="B196:I196"/>
    <mergeCell ref="B191:I191"/>
    <mergeCell ref="B194:I194"/>
    <mergeCell ref="B96:B97"/>
    <mergeCell ref="I96:I97"/>
    <mergeCell ref="B98:I98"/>
    <mergeCell ref="B127:B128"/>
    <mergeCell ref="I127:I128"/>
    <mergeCell ref="I169:I170"/>
    <mergeCell ref="B129:I129"/>
    <mergeCell ref="B158:B159"/>
    <mergeCell ref="B189:B190"/>
    <mergeCell ref="I189:I190"/>
    <mergeCell ref="B40:I40"/>
    <mergeCell ref="B44:B46"/>
    <mergeCell ref="C44:I44"/>
    <mergeCell ref="I45:I46"/>
    <mergeCell ref="B71:I71"/>
    <mergeCell ref="B72:I72"/>
    <mergeCell ref="C75:I75"/>
    <mergeCell ref="I76:I77"/>
    <mergeCell ref="B65:B66"/>
    <mergeCell ref="I65:I66"/>
    <mergeCell ref="B67:I67"/>
    <mergeCell ref="B53:B54"/>
    <mergeCell ref="I53:I54"/>
    <mergeCell ref="B55:I55"/>
    <mergeCell ref="B33:I33"/>
    <mergeCell ref="B38:I38"/>
  </mergeCells>
  <conditionalFormatting sqref="L7 X18 Z20:AD21 X14 AF13:AG13 R36:S36 K28 L28:L44 L10:L25">
    <cfRule type="cellIs" priority="38337" operator="notEqual">
      <formula>#REF!</formula>
    </cfRule>
  </conditionalFormatting>
  <conditionalFormatting sqref="L6">
    <cfRule type="cellIs" priority="38357" operator="notEqual">
      <formula>#REF!</formula>
    </cfRule>
  </conditionalFormatting>
  <conditionalFormatting sqref="L12:L25">
    <cfRule type="cellIs" priority="38358" operator="notEqual">
      <formula>#REF!</formula>
    </cfRule>
  </conditionalFormatting>
  <conditionalFormatting sqref="G43">
    <cfRule type="expression" dxfId="693" priority="6797">
      <formula>IF(#REF!=#REF!,"t","f")</formula>
    </cfRule>
  </conditionalFormatting>
  <conditionalFormatting sqref="C37:I37">
    <cfRule type="expression" dxfId="692" priority="6796">
      <formula>C37&lt;&gt;""</formula>
    </cfRule>
  </conditionalFormatting>
  <conditionalFormatting sqref="C68:I68">
    <cfRule type="expression" dxfId="691" priority="6795">
      <formula>C68&lt;&gt;""</formula>
    </cfRule>
  </conditionalFormatting>
  <conditionalFormatting sqref="C99:I99">
    <cfRule type="expression" dxfId="690" priority="6794">
      <formula>C99&lt;&gt;""</formula>
    </cfRule>
  </conditionalFormatting>
  <conditionalFormatting sqref="C130:I130">
    <cfRule type="expression" dxfId="689" priority="6793">
      <formula>C130&lt;&gt;""</formula>
    </cfRule>
  </conditionalFormatting>
  <conditionalFormatting sqref="C161:I161">
    <cfRule type="expression" dxfId="688" priority="6792">
      <formula>C161&lt;&gt;""</formula>
    </cfRule>
  </conditionalFormatting>
  <conditionalFormatting sqref="C192:I192">
    <cfRule type="expression" dxfId="687" priority="6791">
      <formula>C192&lt;&gt;""</formula>
    </cfRule>
  </conditionalFormatting>
  <conditionalFormatting sqref="B160:H160 B129:H129 B98:H98 B67:H67 B36:H36 B191:H191">
    <cfRule type="expression" dxfId="686" priority="6790">
      <formula>LEN(TRIM(C36))&gt;0</formula>
    </cfRule>
  </conditionalFormatting>
  <conditionalFormatting sqref="I191">
    <cfRule type="expression" dxfId="685" priority="6798">
      <formula>LEN(TRIM(J137))&gt;0</formula>
    </cfRule>
  </conditionalFormatting>
  <conditionalFormatting sqref="I129">
    <cfRule type="expression" dxfId="684" priority="6799">
      <formula>LEN(TRIM(J93))&gt;0</formula>
    </cfRule>
  </conditionalFormatting>
  <conditionalFormatting sqref="I98">
    <cfRule type="expression" dxfId="683" priority="6800">
      <formula>LEN(TRIM(J71))&gt;0</formula>
    </cfRule>
  </conditionalFormatting>
  <conditionalFormatting sqref="I67">
    <cfRule type="expression" dxfId="682" priority="6801">
      <formula>LEN(TRIM(J49))&gt;0</formula>
    </cfRule>
  </conditionalFormatting>
  <conditionalFormatting sqref="I36">
    <cfRule type="expression" dxfId="681" priority="6802">
      <formula>LEN(TRIM(J27))&gt;0</formula>
    </cfRule>
  </conditionalFormatting>
  <conditionalFormatting sqref="B193:I196 B162:I165 B131:I134 B100:I103 B69:I72 B38:I41">
    <cfRule type="notContainsBlanks" dxfId="680" priority="6789">
      <formula>LEN(TRIM(B38))&gt;0</formula>
    </cfRule>
  </conditionalFormatting>
  <conditionalFormatting sqref="I160">
    <cfRule type="expression" dxfId="679" priority="6803">
      <formula>LEN(TRIM(J115))&gt;0</formula>
    </cfRule>
  </conditionalFormatting>
  <conditionalFormatting sqref="C46:G46">
    <cfRule type="expression" dxfId="678" priority="54676">
      <formula>MATCH(C$45,#REF!,FALSE)</formula>
    </cfRule>
  </conditionalFormatting>
  <conditionalFormatting sqref="C35:H35">
    <cfRule type="notContainsBlanks" dxfId="677" priority="3520">
      <formula>LEN(TRIM(C35))&gt;0</formula>
    </cfRule>
  </conditionalFormatting>
  <conditionalFormatting sqref="C66:H66 B36:I36 B67:I67 C97:H97 B98:I98 C128:H128 B129:I129 C159:H159 B160:I160 C190:H190 B191:I191">
    <cfRule type="notContainsBlanks" dxfId="676" priority="3519">
      <formula>LEN(TRIM(B36))&gt;0</formula>
    </cfRule>
  </conditionalFormatting>
  <conditionalFormatting sqref="C16">
    <cfRule type="cellIs" dxfId="675" priority="722" operator="notEqual">
      <formula>$Q$16</formula>
    </cfRule>
  </conditionalFormatting>
  <conditionalFormatting sqref="C17">
    <cfRule type="cellIs" dxfId="674" priority="721" operator="notEqual">
      <formula>$Q$17</formula>
    </cfRule>
  </conditionalFormatting>
  <conditionalFormatting sqref="C16:C17">
    <cfRule type="expression" dxfId="673" priority="720" stopIfTrue="1">
      <formula>C$37 = "Closed"</formula>
    </cfRule>
  </conditionalFormatting>
  <conditionalFormatting sqref="D16">
    <cfRule type="cellIs" dxfId="672" priority="719" operator="notEqual">
      <formula>$R$16</formula>
    </cfRule>
  </conditionalFormatting>
  <conditionalFormatting sqref="D17">
    <cfRule type="cellIs" dxfId="671" priority="718" operator="notEqual">
      <formula>$R$17</formula>
    </cfRule>
  </conditionalFormatting>
  <conditionalFormatting sqref="D16:D17">
    <cfRule type="expression" dxfId="670" priority="717" stopIfTrue="1">
      <formula>D$37 = "Closed"</formula>
    </cfRule>
  </conditionalFormatting>
  <conditionalFormatting sqref="E16">
    <cfRule type="cellIs" dxfId="669" priority="716" operator="notEqual">
      <formula>$S$16</formula>
    </cfRule>
  </conditionalFormatting>
  <conditionalFormatting sqref="E17">
    <cfRule type="cellIs" dxfId="668" priority="715" operator="notEqual">
      <formula>$S$17</formula>
    </cfRule>
  </conditionalFormatting>
  <conditionalFormatting sqref="E16:E17">
    <cfRule type="expression" dxfId="667" priority="714" stopIfTrue="1">
      <formula>E$37 = "Closed"</formula>
    </cfRule>
  </conditionalFormatting>
  <conditionalFormatting sqref="F16">
    <cfRule type="cellIs" dxfId="666" priority="713" operator="notEqual">
      <formula>$T$16</formula>
    </cfRule>
  </conditionalFormatting>
  <conditionalFormatting sqref="F17">
    <cfRule type="cellIs" dxfId="665" priority="712" operator="notEqual">
      <formula>$T$17</formula>
    </cfRule>
  </conditionalFormatting>
  <conditionalFormatting sqref="F16:F17">
    <cfRule type="expression" dxfId="664" priority="711" stopIfTrue="1">
      <formula>F$37 = "Closed"</formula>
    </cfRule>
  </conditionalFormatting>
  <conditionalFormatting sqref="G16">
    <cfRule type="cellIs" dxfId="663" priority="710" operator="notEqual">
      <formula>$U$16</formula>
    </cfRule>
  </conditionalFormatting>
  <conditionalFormatting sqref="G17">
    <cfRule type="cellIs" dxfId="662" priority="709" operator="notEqual">
      <formula>$U$17</formula>
    </cfRule>
  </conditionalFormatting>
  <conditionalFormatting sqref="G16:G17">
    <cfRule type="expression" dxfId="661" priority="708" stopIfTrue="1">
      <formula>G$37 = "Closed"</formula>
    </cfRule>
  </conditionalFormatting>
  <conditionalFormatting sqref="B18:I18">
    <cfRule type="expression" dxfId="660" priority="707">
      <formula>B18&lt;&gt;0</formula>
    </cfRule>
  </conditionalFormatting>
  <conditionalFormatting sqref="H16:H17">
    <cfRule type="expression" dxfId="659" priority="705" stopIfTrue="1">
      <formula>$H$37 = "Closed"</formula>
    </cfRule>
    <cfRule type="expression" dxfId="658" priority="706">
      <formula>LEN(TRIM(H16))&gt;0</formula>
    </cfRule>
  </conditionalFormatting>
  <conditionalFormatting sqref="C47">
    <cfRule type="cellIs" dxfId="657" priority="704" operator="notEqual">
      <formula>$Q$16</formula>
    </cfRule>
  </conditionalFormatting>
  <conditionalFormatting sqref="C48">
    <cfRule type="cellIs" dxfId="656" priority="703" operator="notEqual">
      <formula>$Q$17</formula>
    </cfRule>
  </conditionalFormatting>
  <conditionalFormatting sqref="C47:C48">
    <cfRule type="expression" dxfId="655" priority="702" stopIfTrue="1">
      <formula>C$68 = "Closed"</formula>
    </cfRule>
  </conditionalFormatting>
  <conditionalFormatting sqref="D47">
    <cfRule type="cellIs" dxfId="654" priority="701" operator="notEqual">
      <formula>$R$16</formula>
    </cfRule>
  </conditionalFormatting>
  <conditionalFormatting sqref="D48">
    <cfRule type="cellIs" dxfId="653" priority="700" operator="notEqual">
      <formula>$R$17</formula>
    </cfRule>
  </conditionalFormatting>
  <conditionalFormatting sqref="D47:D48">
    <cfRule type="expression" dxfId="652" priority="699" stopIfTrue="1">
      <formula>D$68 = "Closed"</formula>
    </cfRule>
  </conditionalFormatting>
  <conditionalFormatting sqref="E47">
    <cfRule type="cellIs" dxfId="651" priority="698" operator="notEqual">
      <formula>$S$16</formula>
    </cfRule>
  </conditionalFormatting>
  <conditionalFormatting sqref="E47">
    <cfRule type="expression" dxfId="650" priority="696" stopIfTrue="1">
      <formula>E$68 = "Closed"</formula>
    </cfRule>
  </conditionalFormatting>
  <conditionalFormatting sqref="B49:I49">
    <cfRule type="expression" dxfId="649" priority="689">
      <formula>B49&lt;&gt;0</formula>
    </cfRule>
  </conditionalFormatting>
  <conditionalFormatting sqref="H47:H48">
    <cfRule type="expression" dxfId="648" priority="688">
      <formula>LEN(TRIM(H47))&gt;0</formula>
    </cfRule>
  </conditionalFormatting>
  <conditionalFormatting sqref="H47:H48">
    <cfRule type="expression" dxfId="647" priority="687" stopIfTrue="1">
      <formula>$H$68 = "Closed"</formula>
    </cfRule>
  </conditionalFormatting>
  <conditionalFormatting sqref="C78">
    <cfRule type="cellIs" dxfId="646" priority="686" operator="notEqual">
      <formula>$Q$16</formula>
    </cfRule>
  </conditionalFormatting>
  <conditionalFormatting sqref="C79">
    <cfRule type="cellIs" dxfId="645" priority="685" operator="notEqual">
      <formula>$Q$17</formula>
    </cfRule>
  </conditionalFormatting>
  <conditionalFormatting sqref="C78:C79">
    <cfRule type="expression" dxfId="644" priority="684" stopIfTrue="1">
      <formula>C$99 = "Closed"</formula>
    </cfRule>
  </conditionalFormatting>
  <conditionalFormatting sqref="D78">
    <cfRule type="cellIs" dxfId="643" priority="683" operator="notEqual">
      <formula>$R$16</formula>
    </cfRule>
  </conditionalFormatting>
  <conditionalFormatting sqref="D79">
    <cfRule type="cellIs" dxfId="642" priority="682" operator="notEqual">
      <formula>$R$17</formula>
    </cfRule>
  </conditionalFormatting>
  <conditionalFormatting sqref="D78:D79">
    <cfRule type="expression" dxfId="641" priority="681" stopIfTrue="1">
      <formula>D$99 = "Closed"</formula>
    </cfRule>
  </conditionalFormatting>
  <conditionalFormatting sqref="E78">
    <cfRule type="cellIs" dxfId="640" priority="680" operator="notEqual">
      <formula>$S$16</formula>
    </cfRule>
  </conditionalFormatting>
  <conditionalFormatting sqref="E79">
    <cfRule type="cellIs" dxfId="639" priority="679" operator="notEqual">
      <formula>$S$17</formula>
    </cfRule>
  </conditionalFormatting>
  <conditionalFormatting sqref="E78:E79">
    <cfRule type="expression" dxfId="638" priority="678" stopIfTrue="1">
      <formula>E$99 = "Closed"</formula>
    </cfRule>
  </conditionalFormatting>
  <conditionalFormatting sqref="F78">
    <cfRule type="cellIs" dxfId="637" priority="677" operator="notEqual">
      <formula>$T$16</formula>
    </cfRule>
  </conditionalFormatting>
  <conditionalFormatting sqref="F79">
    <cfRule type="cellIs" dxfId="636" priority="676" operator="notEqual">
      <formula>$T$17</formula>
    </cfRule>
  </conditionalFormatting>
  <conditionalFormatting sqref="F78:F79">
    <cfRule type="expression" dxfId="635" priority="675" stopIfTrue="1">
      <formula>F$99 = "Closed"</formula>
    </cfRule>
  </conditionalFormatting>
  <conditionalFormatting sqref="G78">
    <cfRule type="cellIs" dxfId="634" priority="674" operator="notEqual">
      <formula>$U$16</formula>
    </cfRule>
  </conditionalFormatting>
  <conditionalFormatting sqref="G79">
    <cfRule type="cellIs" dxfId="633" priority="673" operator="notEqual">
      <formula>$U$17</formula>
    </cfRule>
  </conditionalFormatting>
  <conditionalFormatting sqref="G78:G79">
    <cfRule type="expression" dxfId="632" priority="672" stopIfTrue="1">
      <formula>G$99 = "Closed"</formula>
    </cfRule>
  </conditionalFormatting>
  <conditionalFormatting sqref="B80:I80">
    <cfRule type="expression" dxfId="631" priority="671">
      <formula>B80&lt;&gt;0</formula>
    </cfRule>
  </conditionalFormatting>
  <conditionalFormatting sqref="H78:H79">
    <cfRule type="expression" dxfId="630" priority="670">
      <formula>LEN(TRIM(H78))&gt;0</formula>
    </cfRule>
  </conditionalFormatting>
  <conditionalFormatting sqref="H78:H79">
    <cfRule type="expression" dxfId="629" priority="669" stopIfTrue="1">
      <formula>$H$99 = "Closed"</formula>
    </cfRule>
  </conditionalFormatting>
  <conditionalFormatting sqref="C109">
    <cfRule type="cellIs" dxfId="628" priority="668" operator="notEqual">
      <formula>$Q$16</formula>
    </cfRule>
  </conditionalFormatting>
  <conditionalFormatting sqref="C110">
    <cfRule type="cellIs" dxfId="627" priority="667" operator="notEqual">
      <formula>$Q$17</formula>
    </cfRule>
  </conditionalFormatting>
  <conditionalFormatting sqref="C109:C110">
    <cfRule type="expression" dxfId="626" priority="666" stopIfTrue="1">
      <formula>C$130 = "Closed"</formula>
    </cfRule>
  </conditionalFormatting>
  <conditionalFormatting sqref="D109">
    <cfRule type="cellIs" dxfId="625" priority="665" operator="notEqual">
      <formula>$R$16</formula>
    </cfRule>
  </conditionalFormatting>
  <conditionalFormatting sqref="D110">
    <cfRule type="cellIs" dxfId="624" priority="664" operator="notEqual">
      <formula>$R$17</formula>
    </cfRule>
  </conditionalFormatting>
  <conditionalFormatting sqref="D109:D110">
    <cfRule type="expression" dxfId="623" priority="663" stopIfTrue="1">
      <formula>D$130 = "Closed"</formula>
    </cfRule>
  </conditionalFormatting>
  <conditionalFormatting sqref="E109">
    <cfRule type="cellIs" dxfId="622" priority="662" operator="notEqual">
      <formula>$S$16</formula>
    </cfRule>
  </conditionalFormatting>
  <conditionalFormatting sqref="E110">
    <cfRule type="cellIs" dxfId="621" priority="661" operator="notEqual">
      <formula>$S$17</formula>
    </cfRule>
  </conditionalFormatting>
  <conditionalFormatting sqref="E109:E110">
    <cfRule type="expression" dxfId="620" priority="660" stopIfTrue="1">
      <formula>E$130 = "Closed"</formula>
    </cfRule>
  </conditionalFormatting>
  <conditionalFormatting sqref="F109">
    <cfRule type="cellIs" dxfId="619" priority="659" operator="notEqual">
      <formula>$T$16</formula>
    </cfRule>
  </conditionalFormatting>
  <conditionalFormatting sqref="F110">
    <cfRule type="cellIs" dxfId="618" priority="658" operator="notEqual">
      <formula>$T$17</formula>
    </cfRule>
  </conditionalFormatting>
  <conditionalFormatting sqref="F109:F110">
    <cfRule type="expression" dxfId="617" priority="657" stopIfTrue="1">
      <formula>F$130 = "Closed"</formula>
    </cfRule>
  </conditionalFormatting>
  <conditionalFormatting sqref="G109">
    <cfRule type="cellIs" dxfId="616" priority="656" operator="notEqual">
      <formula>$U$16</formula>
    </cfRule>
  </conditionalFormatting>
  <conditionalFormatting sqref="G110">
    <cfRule type="cellIs" dxfId="615" priority="655" operator="notEqual">
      <formula>$U$17</formula>
    </cfRule>
  </conditionalFormatting>
  <conditionalFormatting sqref="G109:G110">
    <cfRule type="expression" dxfId="614" priority="654" stopIfTrue="1">
      <formula>G$130 = "Closed"</formula>
    </cfRule>
  </conditionalFormatting>
  <conditionalFormatting sqref="B111:I111">
    <cfRule type="expression" dxfId="613" priority="653">
      <formula>B111&lt;&gt;0</formula>
    </cfRule>
  </conditionalFormatting>
  <conditionalFormatting sqref="H109:H110">
    <cfRule type="expression" dxfId="612" priority="652">
      <formula>LEN(TRIM(H109))&gt;0</formula>
    </cfRule>
  </conditionalFormatting>
  <conditionalFormatting sqref="H109:H110">
    <cfRule type="expression" dxfId="611" priority="651" stopIfTrue="1">
      <formula>$H$130 = "Closed"</formula>
    </cfRule>
  </conditionalFormatting>
  <conditionalFormatting sqref="C140">
    <cfRule type="cellIs" dxfId="610" priority="650" operator="notEqual">
      <formula>$Q$16</formula>
    </cfRule>
  </conditionalFormatting>
  <conditionalFormatting sqref="C141">
    <cfRule type="cellIs" dxfId="609" priority="649" operator="notEqual">
      <formula>$Q$17</formula>
    </cfRule>
  </conditionalFormatting>
  <conditionalFormatting sqref="C140:C141">
    <cfRule type="expression" dxfId="608" priority="648" stopIfTrue="1">
      <formula>C$161 = "Closed"</formula>
    </cfRule>
  </conditionalFormatting>
  <conditionalFormatting sqref="D140">
    <cfRule type="cellIs" dxfId="607" priority="647" operator="notEqual">
      <formula>$R$16</formula>
    </cfRule>
  </conditionalFormatting>
  <conditionalFormatting sqref="D141">
    <cfRule type="cellIs" dxfId="606" priority="646" operator="notEqual">
      <formula>$R$17</formula>
    </cfRule>
  </conditionalFormatting>
  <conditionalFormatting sqref="D140:D141">
    <cfRule type="expression" dxfId="605" priority="645" stopIfTrue="1">
      <formula>D$161 = "Closed"</formula>
    </cfRule>
  </conditionalFormatting>
  <conditionalFormatting sqref="E140">
    <cfRule type="cellIs" dxfId="604" priority="644" operator="notEqual">
      <formula>$S$16</formula>
    </cfRule>
  </conditionalFormatting>
  <conditionalFormatting sqref="E141">
    <cfRule type="cellIs" dxfId="603" priority="643" operator="notEqual">
      <formula>$S$17</formula>
    </cfRule>
  </conditionalFormatting>
  <conditionalFormatting sqref="E140:E141">
    <cfRule type="expression" dxfId="602" priority="642" stopIfTrue="1">
      <formula>E$161 = "Closed"</formula>
    </cfRule>
  </conditionalFormatting>
  <conditionalFormatting sqref="F140">
    <cfRule type="cellIs" dxfId="601" priority="641" operator="notEqual">
      <formula>$T$16</formula>
    </cfRule>
  </conditionalFormatting>
  <conditionalFormatting sqref="F141">
    <cfRule type="cellIs" dxfId="600" priority="640" operator="notEqual">
      <formula>$T$17</formula>
    </cfRule>
  </conditionalFormatting>
  <conditionalFormatting sqref="F140:F141">
    <cfRule type="expression" dxfId="599" priority="639" stopIfTrue="1">
      <formula>F$161 = "Closed"</formula>
    </cfRule>
  </conditionalFormatting>
  <conditionalFormatting sqref="G140">
    <cfRule type="cellIs" dxfId="598" priority="638" operator="notEqual">
      <formula>$U$16</formula>
    </cfRule>
  </conditionalFormatting>
  <conditionalFormatting sqref="G141">
    <cfRule type="cellIs" dxfId="597" priority="637" operator="notEqual">
      <formula>$U$17</formula>
    </cfRule>
  </conditionalFormatting>
  <conditionalFormatting sqref="G140:G141">
    <cfRule type="expression" dxfId="596" priority="636" stopIfTrue="1">
      <formula>G$161 = "Closed"</formula>
    </cfRule>
  </conditionalFormatting>
  <conditionalFormatting sqref="B142:I142">
    <cfRule type="expression" dxfId="595" priority="635">
      <formula>B142&lt;&gt;0</formula>
    </cfRule>
  </conditionalFormatting>
  <conditionalFormatting sqref="H140:H141">
    <cfRule type="expression" dxfId="594" priority="634">
      <formula>LEN(TRIM(H140))&gt;0</formula>
    </cfRule>
  </conditionalFormatting>
  <conditionalFormatting sqref="H140:H141">
    <cfRule type="expression" dxfId="593" priority="633" stopIfTrue="1">
      <formula>$H$161 = "Closed"</formula>
    </cfRule>
  </conditionalFormatting>
  <conditionalFormatting sqref="C171">
    <cfRule type="cellIs" dxfId="592" priority="632" operator="notEqual">
      <formula>$Q$16</formula>
    </cfRule>
  </conditionalFormatting>
  <conditionalFormatting sqref="C172">
    <cfRule type="cellIs" dxfId="591" priority="631" operator="notEqual">
      <formula>$Q$17</formula>
    </cfRule>
  </conditionalFormatting>
  <conditionalFormatting sqref="C171:C172">
    <cfRule type="expression" dxfId="590" priority="630" stopIfTrue="1">
      <formula>C$192 = "Closed"</formula>
    </cfRule>
  </conditionalFormatting>
  <conditionalFormatting sqref="D171">
    <cfRule type="cellIs" dxfId="589" priority="629" operator="notEqual">
      <formula>$R$16</formula>
    </cfRule>
  </conditionalFormatting>
  <conditionalFormatting sqref="D172">
    <cfRule type="cellIs" dxfId="588" priority="628" operator="notEqual">
      <formula>$R$17</formula>
    </cfRule>
  </conditionalFormatting>
  <conditionalFormatting sqref="D171:D172">
    <cfRule type="expression" dxfId="587" priority="627" stopIfTrue="1">
      <formula>D$192 = "Closed"</formula>
    </cfRule>
  </conditionalFormatting>
  <conditionalFormatting sqref="E171">
    <cfRule type="cellIs" dxfId="586" priority="626" operator="notEqual">
      <formula>$S$16</formula>
    </cfRule>
  </conditionalFormatting>
  <conditionalFormatting sqref="E172">
    <cfRule type="cellIs" dxfId="585" priority="625" operator="notEqual">
      <formula>$S$17</formula>
    </cfRule>
  </conditionalFormatting>
  <conditionalFormatting sqref="E171:E172">
    <cfRule type="expression" dxfId="584" priority="624" stopIfTrue="1">
      <formula>E$192 = "Closed"</formula>
    </cfRule>
  </conditionalFormatting>
  <conditionalFormatting sqref="F171">
    <cfRule type="cellIs" dxfId="583" priority="623" operator="notEqual">
      <formula>$T$16</formula>
    </cfRule>
  </conditionalFormatting>
  <conditionalFormatting sqref="F172">
    <cfRule type="cellIs" dxfId="582" priority="622" operator="notEqual">
      <formula>$T$17</formula>
    </cfRule>
  </conditionalFormatting>
  <conditionalFormatting sqref="F171:F172">
    <cfRule type="expression" dxfId="581" priority="621" stopIfTrue="1">
      <formula>F$192 = "Closed"</formula>
    </cfRule>
  </conditionalFormatting>
  <conditionalFormatting sqref="G171">
    <cfRule type="cellIs" dxfId="580" priority="620" operator="notEqual">
      <formula>$U$16</formula>
    </cfRule>
  </conditionalFormatting>
  <conditionalFormatting sqref="G172">
    <cfRule type="cellIs" dxfId="579" priority="619" operator="notEqual">
      <formula>$U$17</formula>
    </cfRule>
  </conditionalFormatting>
  <conditionalFormatting sqref="G171:G172">
    <cfRule type="expression" dxfId="578" priority="618" stopIfTrue="1">
      <formula>G$192 = "Closed"</formula>
    </cfRule>
  </conditionalFormatting>
  <conditionalFormatting sqref="B173:I173">
    <cfRule type="expression" dxfId="577" priority="617">
      <formula>B173&lt;&gt;0</formula>
    </cfRule>
  </conditionalFormatting>
  <conditionalFormatting sqref="H171:H172">
    <cfRule type="expression" dxfId="576" priority="616">
      <formula>LEN(TRIM(H171))&gt;0</formula>
    </cfRule>
  </conditionalFormatting>
  <conditionalFormatting sqref="H171:H172">
    <cfRule type="expression" dxfId="575" priority="615" stopIfTrue="1">
      <formula>$H$192 = "Closed"</formula>
    </cfRule>
  </conditionalFormatting>
  <conditionalFormatting sqref="C19">
    <cfRule type="cellIs" dxfId="574" priority="614" operator="notEqual">
      <formula>$Q$19</formula>
    </cfRule>
  </conditionalFormatting>
  <conditionalFormatting sqref="C20">
    <cfRule type="cellIs" dxfId="573" priority="613" operator="notEqual">
      <formula>$Q$20</formula>
    </cfRule>
  </conditionalFormatting>
  <conditionalFormatting sqref="C19:C20">
    <cfRule type="expression" dxfId="572" priority="73" stopIfTrue="1">
      <formula>C$37 = "Closed"</formula>
    </cfRule>
  </conditionalFormatting>
  <conditionalFormatting sqref="D19">
    <cfRule type="cellIs" dxfId="571" priority="611" operator="notEqual">
      <formula>$R$19</formula>
    </cfRule>
  </conditionalFormatting>
  <conditionalFormatting sqref="D20">
    <cfRule type="cellIs" dxfId="570" priority="610" operator="notEqual">
      <formula>$R$20</formula>
    </cfRule>
  </conditionalFormatting>
  <conditionalFormatting sqref="D19:D20">
    <cfRule type="expression" dxfId="569" priority="71" stopIfTrue="1">
      <formula>D$37 = "Closed"</formula>
    </cfRule>
  </conditionalFormatting>
  <conditionalFormatting sqref="E19">
    <cfRule type="cellIs" dxfId="568" priority="608" operator="notEqual">
      <formula>$S$19</formula>
    </cfRule>
  </conditionalFormatting>
  <conditionalFormatting sqref="E20">
    <cfRule type="cellIs" dxfId="567" priority="607" operator="notEqual">
      <formula>$S$20</formula>
    </cfRule>
  </conditionalFormatting>
  <conditionalFormatting sqref="E19:E20">
    <cfRule type="expression" dxfId="566" priority="69" stopIfTrue="1">
      <formula>E$37 = "Closed"</formula>
    </cfRule>
  </conditionalFormatting>
  <conditionalFormatting sqref="F19">
    <cfRule type="cellIs" dxfId="565" priority="605" operator="notEqual">
      <formula>$T$19</formula>
    </cfRule>
  </conditionalFormatting>
  <conditionalFormatting sqref="F20">
    <cfRule type="cellIs" dxfId="564" priority="604" operator="notEqual">
      <formula>$T$20</formula>
    </cfRule>
  </conditionalFormatting>
  <conditionalFormatting sqref="F19:F20">
    <cfRule type="expression" dxfId="563" priority="67" stopIfTrue="1">
      <formula>F$37 = "Closed"</formula>
    </cfRule>
  </conditionalFormatting>
  <conditionalFormatting sqref="G19">
    <cfRule type="cellIs" dxfId="562" priority="602" operator="notEqual">
      <formula>$U$19</formula>
    </cfRule>
  </conditionalFormatting>
  <conditionalFormatting sqref="G20">
    <cfRule type="cellIs" dxfId="561" priority="601" operator="notEqual">
      <formula>$U$20</formula>
    </cfRule>
  </conditionalFormatting>
  <conditionalFormatting sqref="G19:G20">
    <cfRule type="expression" dxfId="560" priority="65" stopIfTrue="1">
      <formula>G$37 = "Closed"</formula>
    </cfRule>
  </conditionalFormatting>
  <conditionalFormatting sqref="B21:I21">
    <cfRule type="expression" dxfId="559" priority="599">
      <formula>B21&lt;&gt;0</formula>
    </cfRule>
  </conditionalFormatting>
  <conditionalFormatting sqref="H19:H20">
    <cfRule type="expression" dxfId="558" priority="598">
      <formula>LEN(TRIM(H19))&gt;0</formula>
    </cfRule>
  </conditionalFormatting>
  <conditionalFormatting sqref="H19:H20">
    <cfRule type="expression" dxfId="557" priority="597" stopIfTrue="1">
      <formula>$H$37 = "Closed"</formula>
    </cfRule>
  </conditionalFormatting>
  <conditionalFormatting sqref="C50">
    <cfRule type="cellIs" dxfId="556" priority="596" operator="notEqual">
      <formula>$Q$19</formula>
    </cfRule>
  </conditionalFormatting>
  <conditionalFormatting sqref="C51">
    <cfRule type="cellIs" dxfId="555" priority="595" operator="notEqual">
      <formula>$Q$20</formula>
    </cfRule>
  </conditionalFormatting>
  <conditionalFormatting sqref="C50:C51">
    <cfRule type="expression" dxfId="554" priority="63" stopIfTrue="1">
      <formula>C$68 = "Closed"</formula>
    </cfRule>
  </conditionalFormatting>
  <conditionalFormatting sqref="D50">
    <cfRule type="cellIs" dxfId="553" priority="593" operator="notEqual">
      <formula>$R$19</formula>
    </cfRule>
  </conditionalFormatting>
  <conditionalFormatting sqref="D51">
    <cfRule type="cellIs" dxfId="552" priority="592" operator="notEqual">
      <formula>$R$20</formula>
    </cfRule>
  </conditionalFormatting>
  <conditionalFormatting sqref="D50:D51">
    <cfRule type="expression" dxfId="551" priority="61" stopIfTrue="1">
      <formula>D$68 = "Closed"</formula>
    </cfRule>
  </conditionalFormatting>
  <conditionalFormatting sqref="E50">
    <cfRule type="cellIs" dxfId="550" priority="590" operator="notEqual">
      <formula>$S$19</formula>
    </cfRule>
  </conditionalFormatting>
  <conditionalFormatting sqref="E51">
    <cfRule type="cellIs" dxfId="549" priority="589" operator="notEqual">
      <formula>$S$20</formula>
    </cfRule>
  </conditionalFormatting>
  <conditionalFormatting sqref="E50:E51">
    <cfRule type="expression" dxfId="548" priority="59" stopIfTrue="1">
      <formula>E$68 = "Closed"</formula>
    </cfRule>
  </conditionalFormatting>
  <conditionalFormatting sqref="F50">
    <cfRule type="cellIs" dxfId="547" priority="587" operator="notEqual">
      <formula>$T$19</formula>
    </cfRule>
  </conditionalFormatting>
  <conditionalFormatting sqref="F51">
    <cfRule type="cellIs" dxfId="546" priority="586" operator="notEqual">
      <formula>$T$20</formula>
    </cfRule>
  </conditionalFormatting>
  <conditionalFormatting sqref="F50:F51">
    <cfRule type="expression" dxfId="545" priority="57" stopIfTrue="1">
      <formula>F$68 = "Closed"</formula>
    </cfRule>
  </conditionalFormatting>
  <conditionalFormatting sqref="G50">
    <cfRule type="cellIs" dxfId="544" priority="584" operator="notEqual">
      <formula>$U$19</formula>
    </cfRule>
  </conditionalFormatting>
  <conditionalFormatting sqref="G51">
    <cfRule type="cellIs" dxfId="543" priority="583" operator="notEqual">
      <formula>$U$20</formula>
    </cfRule>
  </conditionalFormatting>
  <conditionalFormatting sqref="G50:G51">
    <cfRule type="expression" dxfId="542" priority="55" stopIfTrue="1">
      <formula>G$68 = "Closed"</formula>
    </cfRule>
  </conditionalFormatting>
  <conditionalFormatting sqref="B52:I52">
    <cfRule type="expression" dxfId="541" priority="581">
      <formula>B52&lt;&gt;0</formula>
    </cfRule>
  </conditionalFormatting>
  <conditionalFormatting sqref="H50:H51">
    <cfRule type="expression" dxfId="540" priority="580">
      <formula>LEN(TRIM(H50))&gt;0</formula>
    </cfRule>
  </conditionalFormatting>
  <conditionalFormatting sqref="H50:H51">
    <cfRule type="expression" dxfId="539" priority="579" stopIfTrue="1">
      <formula>$H$68 = "Closed"</formula>
    </cfRule>
  </conditionalFormatting>
  <conditionalFormatting sqref="C81">
    <cfRule type="cellIs" dxfId="538" priority="578" operator="notEqual">
      <formula>$Q$19</formula>
    </cfRule>
  </conditionalFormatting>
  <conditionalFormatting sqref="C82">
    <cfRule type="cellIs" dxfId="537" priority="577" operator="notEqual">
      <formula>$Q$20</formula>
    </cfRule>
  </conditionalFormatting>
  <conditionalFormatting sqref="C81:C82">
    <cfRule type="expression" dxfId="536" priority="53" stopIfTrue="1">
      <formula>C$99 = "Closed"</formula>
    </cfRule>
  </conditionalFormatting>
  <conditionalFormatting sqref="D81">
    <cfRule type="cellIs" dxfId="535" priority="575" operator="notEqual">
      <formula>$R$19</formula>
    </cfRule>
  </conditionalFormatting>
  <conditionalFormatting sqref="D82">
    <cfRule type="cellIs" dxfId="534" priority="574" operator="notEqual">
      <formula>$R$20</formula>
    </cfRule>
  </conditionalFormatting>
  <conditionalFormatting sqref="D81:D82">
    <cfRule type="expression" dxfId="533" priority="51" stopIfTrue="1">
      <formula>D$99 = "Closed"</formula>
    </cfRule>
  </conditionalFormatting>
  <conditionalFormatting sqref="E81">
    <cfRule type="cellIs" dxfId="532" priority="572" operator="notEqual">
      <formula>$S$19</formula>
    </cfRule>
  </conditionalFormatting>
  <conditionalFormatting sqref="E82">
    <cfRule type="cellIs" dxfId="531" priority="571" operator="notEqual">
      <formula>$S$20</formula>
    </cfRule>
  </conditionalFormatting>
  <conditionalFormatting sqref="E81:E82">
    <cfRule type="expression" dxfId="530" priority="49" stopIfTrue="1">
      <formula>E$99 = "Closed"</formula>
    </cfRule>
  </conditionalFormatting>
  <conditionalFormatting sqref="F81">
    <cfRule type="cellIs" dxfId="529" priority="569" operator="notEqual">
      <formula>$T$19</formula>
    </cfRule>
  </conditionalFormatting>
  <conditionalFormatting sqref="F82">
    <cfRule type="cellIs" dxfId="528" priority="568" operator="notEqual">
      <formula>$T$20</formula>
    </cfRule>
  </conditionalFormatting>
  <conditionalFormatting sqref="F81:F82">
    <cfRule type="expression" dxfId="527" priority="47" stopIfTrue="1">
      <formula>F$99 = "Closed"</formula>
    </cfRule>
  </conditionalFormatting>
  <conditionalFormatting sqref="G81">
    <cfRule type="cellIs" dxfId="526" priority="566" operator="notEqual">
      <formula>$U$19</formula>
    </cfRule>
  </conditionalFormatting>
  <conditionalFormatting sqref="G82">
    <cfRule type="cellIs" dxfId="525" priority="565" operator="notEqual">
      <formula>$U$20</formula>
    </cfRule>
  </conditionalFormatting>
  <conditionalFormatting sqref="G81:G82">
    <cfRule type="expression" dxfId="524" priority="45" stopIfTrue="1">
      <formula>G$99 = "Closed"</formula>
    </cfRule>
  </conditionalFormatting>
  <conditionalFormatting sqref="B83:I83">
    <cfRule type="expression" dxfId="523" priority="563">
      <formula>B83&lt;&gt;0</formula>
    </cfRule>
  </conditionalFormatting>
  <conditionalFormatting sqref="H81:H82">
    <cfRule type="expression" dxfId="522" priority="562">
      <formula>LEN(TRIM(H81))&gt;0</formula>
    </cfRule>
  </conditionalFormatting>
  <conditionalFormatting sqref="H81:H82">
    <cfRule type="expression" dxfId="521" priority="561" stopIfTrue="1">
      <formula>$H$99 = "Closed"</formula>
    </cfRule>
  </conditionalFormatting>
  <conditionalFormatting sqref="C112">
    <cfRule type="cellIs" dxfId="520" priority="560" operator="notEqual">
      <formula>$Q$19</formula>
    </cfRule>
  </conditionalFormatting>
  <conditionalFormatting sqref="C113">
    <cfRule type="cellIs" dxfId="519" priority="559" operator="notEqual">
      <formula>$Q$20</formula>
    </cfRule>
  </conditionalFormatting>
  <conditionalFormatting sqref="C112:C113">
    <cfRule type="expression" dxfId="518" priority="43" stopIfTrue="1">
      <formula>C$130 = "Closed"</formula>
    </cfRule>
  </conditionalFormatting>
  <conditionalFormatting sqref="D112">
    <cfRule type="cellIs" dxfId="517" priority="557" operator="notEqual">
      <formula>$R$19</formula>
    </cfRule>
  </conditionalFormatting>
  <conditionalFormatting sqref="D113">
    <cfRule type="cellIs" dxfId="516" priority="556" operator="notEqual">
      <formula>$R$20</formula>
    </cfRule>
  </conditionalFormatting>
  <conditionalFormatting sqref="D112:D113">
    <cfRule type="expression" dxfId="515" priority="41" stopIfTrue="1">
      <formula>D$130 = "Closed"</formula>
    </cfRule>
  </conditionalFormatting>
  <conditionalFormatting sqref="E112">
    <cfRule type="cellIs" dxfId="514" priority="554" operator="notEqual">
      <formula>$S$19</formula>
    </cfRule>
  </conditionalFormatting>
  <conditionalFormatting sqref="E113">
    <cfRule type="cellIs" dxfId="513" priority="553" operator="notEqual">
      <formula>$S$20</formula>
    </cfRule>
  </conditionalFormatting>
  <conditionalFormatting sqref="E112:E113">
    <cfRule type="expression" dxfId="512" priority="39" stopIfTrue="1">
      <formula>E$130 = "Closed"</formula>
    </cfRule>
  </conditionalFormatting>
  <conditionalFormatting sqref="F112">
    <cfRule type="cellIs" dxfId="511" priority="551" operator="notEqual">
      <formula>$T$19</formula>
    </cfRule>
  </conditionalFormatting>
  <conditionalFormatting sqref="F113">
    <cfRule type="cellIs" dxfId="510" priority="550" operator="notEqual">
      <formula>$T$20</formula>
    </cfRule>
  </conditionalFormatting>
  <conditionalFormatting sqref="F112:F113">
    <cfRule type="expression" dxfId="509" priority="37" stopIfTrue="1">
      <formula>F$130 = "Closed"</formula>
    </cfRule>
  </conditionalFormatting>
  <conditionalFormatting sqref="G112">
    <cfRule type="cellIs" dxfId="508" priority="548" operator="notEqual">
      <formula>$U$19</formula>
    </cfRule>
  </conditionalFormatting>
  <conditionalFormatting sqref="G113">
    <cfRule type="cellIs" dxfId="507" priority="547" operator="notEqual">
      <formula>$U$20</formula>
    </cfRule>
  </conditionalFormatting>
  <conditionalFormatting sqref="G112:G113">
    <cfRule type="expression" dxfId="506" priority="35" stopIfTrue="1">
      <formula>G$130 = "Closed"</formula>
    </cfRule>
  </conditionalFormatting>
  <conditionalFormatting sqref="B114:I114">
    <cfRule type="expression" dxfId="505" priority="545">
      <formula>B114&lt;&gt;0</formula>
    </cfRule>
  </conditionalFormatting>
  <conditionalFormatting sqref="H112:H113">
    <cfRule type="expression" dxfId="504" priority="544">
      <formula>LEN(TRIM(H112))&gt;0</formula>
    </cfRule>
  </conditionalFormatting>
  <conditionalFormatting sqref="H112:H113">
    <cfRule type="expression" dxfId="503" priority="543" stopIfTrue="1">
      <formula>$H$130 = "Closed"</formula>
    </cfRule>
  </conditionalFormatting>
  <conditionalFormatting sqref="C143">
    <cfRule type="cellIs" dxfId="502" priority="542" operator="notEqual">
      <formula>$Q$19</formula>
    </cfRule>
  </conditionalFormatting>
  <conditionalFormatting sqref="C144">
    <cfRule type="cellIs" dxfId="501" priority="541" operator="notEqual">
      <formula>$Q$20</formula>
    </cfRule>
  </conditionalFormatting>
  <conditionalFormatting sqref="C143:C144">
    <cfRule type="expression" dxfId="500" priority="33" stopIfTrue="1">
      <formula>C$161 = "Closed"</formula>
    </cfRule>
  </conditionalFormatting>
  <conditionalFormatting sqref="D143">
    <cfRule type="cellIs" dxfId="499" priority="539" operator="notEqual">
      <formula>$R$19</formula>
    </cfRule>
  </conditionalFormatting>
  <conditionalFormatting sqref="D144">
    <cfRule type="cellIs" dxfId="498" priority="538" operator="notEqual">
      <formula>$R$20</formula>
    </cfRule>
  </conditionalFormatting>
  <conditionalFormatting sqref="D143:D144">
    <cfRule type="expression" dxfId="497" priority="31" stopIfTrue="1">
      <formula>D$161 = "Closed"</formula>
    </cfRule>
  </conditionalFormatting>
  <conditionalFormatting sqref="E143">
    <cfRule type="cellIs" dxfId="496" priority="536" operator="notEqual">
      <formula>$S$19</formula>
    </cfRule>
  </conditionalFormatting>
  <conditionalFormatting sqref="E144">
    <cfRule type="cellIs" dxfId="495" priority="535" operator="notEqual">
      <formula>$S$20</formula>
    </cfRule>
  </conditionalFormatting>
  <conditionalFormatting sqref="E143:E144">
    <cfRule type="expression" dxfId="494" priority="29" stopIfTrue="1">
      <formula>E$161 = "Closed"</formula>
    </cfRule>
  </conditionalFormatting>
  <conditionalFormatting sqref="F143">
    <cfRule type="cellIs" dxfId="493" priority="533" operator="notEqual">
      <formula>$T$19</formula>
    </cfRule>
  </conditionalFormatting>
  <conditionalFormatting sqref="F144">
    <cfRule type="cellIs" dxfId="492" priority="532" operator="notEqual">
      <formula>$T$20</formula>
    </cfRule>
  </conditionalFormatting>
  <conditionalFormatting sqref="F143:F144">
    <cfRule type="expression" dxfId="491" priority="27" stopIfTrue="1">
      <formula>F$161 = "Closed"</formula>
    </cfRule>
  </conditionalFormatting>
  <conditionalFormatting sqref="G143">
    <cfRule type="cellIs" dxfId="490" priority="530" operator="notEqual">
      <formula>$U$19</formula>
    </cfRule>
  </conditionalFormatting>
  <conditionalFormatting sqref="G144">
    <cfRule type="cellIs" dxfId="489" priority="529" operator="notEqual">
      <formula>$U$20</formula>
    </cfRule>
  </conditionalFormatting>
  <conditionalFormatting sqref="G143:G144">
    <cfRule type="expression" dxfId="488" priority="25" stopIfTrue="1">
      <formula>G$161 = "Closed"</formula>
    </cfRule>
  </conditionalFormatting>
  <conditionalFormatting sqref="B145:I145">
    <cfRule type="expression" dxfId="487" priority="527">
      <formula>B145&lt;&gt;0</formula>
    </cfRule>
  </conditionalFormatting>
  <conditionalFormatting sqref="H143:H144">
    <cfRule type="expression" dxfId="486" priority="526">
      <formula>LEN(TRIM(H143))&gt;0</formula>
    </cfRule>
  </conditionalFormatting>
  <conditionalFormatting sqref="H143:H144">
    <cfRule type="expression" dxfId="485" priority="525" stopIfTrue="1">
      <formula>$H$161 = "Closed"</formula>
    </cfRule>
  </conditionalFormatting>
  <conditionalFormatting sqref="C174">
    <cfRule type="cellIs" dxfId="484" priority="524" operator="notEqual">
      <formula>$Q$19</formula>
    </cfRule>
  </conditionalFormatting>
  <conditionalFormatting sqref="C175">
    <cfRule type="cellIs" dxfId="483" priority="523" operator="notEqual">
      <formula>$Q$20</formula>
    </cfRule>
  </conditionalFormatting>
  <conditionalFormatting sqref="C174:C175">
    <cfRule type="expression" dxfId="482" priority="23" stopIfTrue="1">
      <formula>C$192 = "Closed"</formula>
    </cfRule>
  </conditionalFormatting>
  <conditionalFormatting sqref="D174">
    <cfRule type="cellIs" dxfId="481" priority="521" operator="notEqual">
      <formula>$R$19</formula>
    </cfRule>
  </conditionalFormatting>
  <conditionalFormatting sqref="D175">
    <cfRule type="cellIs" dxfId="480" priority="520" operator="notEqual">
      <formula>$R$20</formula>
    </cfRule>
  </conditionalFormatting>
  <conditionalFormatting sqref="D174:D175">
    <cfRule type="expression" dxfId="479" priority="21" stopIfTrue="1">
      <formula>D$192 = "Closed"</formula>
    </cfRule>
  </conditionalFormatting>
  <conditionalFormatting sqref="E174">
    <cfRule type="cellIs" dxfId="478" priority="518" operator="notEqual">
      <formula>$S$19</formula>
    </cfRule>
  </conditionalFormatting>
  <conditionalFormatting sqref="E175">
    <cfRule type="cellIs" dxfId="477" priority="517" operator="notEqual">
      <formula>$S$20</formula>
    </cfRule>
  </conditionalFormatting>
  <conditionalFormatting sqref="E174:E175">
    <cfRule type="expression" dxfId="476" priority="19" stopIfTrue="1">
      <formula>E$192 = "Closed"</formula>
    </cfRule>
  </conditionalFormatting>
  <conditionalFormatting sqref="F174">
    <cfRule type="cellIs" dxfId="475" priority="515" operator="notEqual">
      <formula>$T$19</formula>
    </cfRule>
  </conditionalFormatting>
  <conditionalFormatting sqref="F175">
    <cfRule type="cellIs" dxfId="474" priority="514" operator="notEqual">
      <formula>$T$20</formula>
    </cfRule>
  </conditionalFormatting>
  <conditionalFormatting sqref="F174:F175">
    <cfRule type="expression" dxfId="473" priority="17" stopIfTrue="1">
      <formula>F$192 = "Closed"</formula>
    </cfRule>
  </conditionalFormatting>
  <conditionalFormatting sqref="G174">
    <cfRule type="cellIs" dxfId="472" priority="512" operator="notEqual">
      <formula>$U$19</formula>
    </cfRule>
  </conditionalFormatting>
  <conditionalFormatting sqref="G175">
    <cfRule type="cellIs" dxfId="471" priority="511" operator="notEqual">
      <formula>$U$20</formula>
    </cfRule>
  </conditionalFormatting>
  <conditionalFormatting sqref="G174:G175">
    <cfRule type="expression" dxfId="470" priority="15" stopIfTrue="1">
      <formula>G$192 = "Closed"</formula>
    </cfRule>
  </conditionalFormatting>
  <conditionalFormatting sqref="B176:I176">
    <cfRule type="expression" dxfId="469" priority="509">
      <formula>B176&lt;&gt;0</formula>
    </cfRule>
  </conditionalFormatting>
  <conditionalFormatting sqref="H174:H175">
    <cfRule type="expression" dxfId="468" priority="508">
      <formula>LEN(TRIM(H174))&gt;0</formula>
    </cfRule>
  </conditionalFormatting>
  <conditionalFormatting sqref="H174:H175">
    <cfRule type="expression" dxfId="467" priority="507" stopIfTrue="1">
      <formula>$H$192 = "Closed"</formula>
    </cfRule>
  </conditionalFormatting>
  <conditionalFormatting sqref="C22">
    <cfRule type="cellIs" dxfId="466" priority="506" operator="notEqual">
      <formula>$Q$22</formula>
    </cfRule>
  </conditionalFormatting>
  <conditionalFormatting sqref="C23">
    <cfRule type="cellIs" dxfId="465" priority="505" operator="notEqual">
      <formula>$Q$23</formula>
    </cfRule>
  </conditionalFormatting>
  <conditionalFormatting sqref="C22:C23">
    <cfRule type="expression" dxfId="464" priority="504" stopIfTrue="1">
      <formula>C$37 = "Closed"</formula>
    </cfRule>
  </conditionalFormatting>
  <conditionalFormatting sqref="D22">
    <cfRule type="cellIs" dxfId="463" priority="503" operator="notEqual">
      <formula>$R$22</formula>
    </cfRule>
  </conditionalFormatting>
  <conditionalFormatting sqref="D23">
    <cfRule type="cellIs" dxfId="462" priority="502" operator="notEqual">
      <formula>$R$23</formula>
    </cfRule>
  </conditionalFormatting>
  <conditionalFormatting sqref="D22:D23">
    <cfRule type="expression" dxfId="461" priority="501" stopIfTrue="1">
      <formula>D$37 = "Closed"</formula>
    </cfRule>
  </conditionalFormatting>
  <conditionalFormatting sqref="E22">
    <cfRule type="cellIs" dxfId="460" priority="500" operator="notEqual">
      <formula>$S$22</formula>
    </cfRule>
  </conditionalFormatting>
  <conditionalFormatting sqref="E23">
    <cfRule type="cellIs" dxfId="459" priority="499" operator="notEqual">
      <formula>$S$23</formula>
    </cfRule>
  </conditionalFormatting>
  <conditionalFormatting sqref="E22:E23">
    <cfRule type="expression" dxfId="458" priority="498" stopIfTrue="1">
      <formula>E$37 = "Closed"</formula>
    </cfRule>
  </conditionalFormatting>
  <conditionalFormatting sqref="F22">
    <cfRule type="cellIs" dxfId="457" priority="497" operator="notEqual">
      <formula>$T$22</formula>
    </cfRule>
  </conditionalFormatting>
  <conditionalFormatting sqref="F23">
    <cfRule type="cellIs" dxfId="456" priority="496" operator="notEqual">
      <formula>$T$23</formula>
    </cfRule>
  </conditionalFormatting>
  <conditionalFormatting sqref="F22:F23">
    <cfRule type="expression" dxfId="455" priority="495" stopIfTrue="1">
      <formula>F$37 = "Closed"</formula>
    </cfRule>
  </conditionalFormatting>
  <conditionalFormatting sqref="G22">
    <cfRule type="cellIs" dxfId="454" priority="494" operator="notEqual">
      <formula>$U$22</formula>
    </cfRule>
  </conditionalFormatting>
  <conditionalFormatting sqref="G23">
    <cfRule type="cellIs" dxfId="453" priority="493" operator="notEqual">
      <formula>$U$23</formula>
    </cfRule>
  </conditionalFormatting>
  <conditionalFormatting sqref="G22:G23">
    <cfRule type="expression" dxfId="452" priority="492" stopIfTrue="1">
      <formula>G$37 = "Closed"</formula>
    </cfRule>
  </conditionalFormatting>
  <conditionalFormatting sqref="B24:I24">
    <cfRule type="expression" dxfId="451" priority="491">
      <formula>B24&lt;&gt;0</formula>
    </cfRule>
  </conditionalFormatting>
  <conditionalFormatting sqref="H22:H23">
    <cfRule type="expression" dxfId="450" priority="490">
      <formula>LEN(TRIM(H22))&gt;0</formula>
    </cfRule>
  </conditionalFormatting>
  <conditionalFormatting sqref="H22:H23">
    <cfRule type="expression" dxfId="449" priority="489" stopIfTrue="1">
      <formula>$H$37 = "Closed"</formula>
    </cfRule>
  </conditionalFormatting>
  <conditionalFormatting sqref="C53">
    <cfRule type="cellIs" dxfId="448" priority="488" operator="notEqual">
      <formula>$Q$22</formula>
    </cfRule>
  </conditionalFormatting>
  <conditionalFormatting sqref="C54">
    <cfRule type="cellIs" dxfId="447" priority="487" operator="notEqual">
      <formula>$Q$23</formula>
    </cfRule>
  </conditionalFormatting>
  <conditionalFormatting sqref="C53:C54">
    <cfRule type="expression" dxfId="446" priority="486" stopIfTrue="1">
      <formula>C$68 = "Closed"</formula>
    </cfRule>
  </conditionalFormatting>
  <conditionalFormatting sqref="D53">
    <cfRule type="cellIs" dxfId="445" priority="485" operator="notEqual">
      <formula>$R$22</formula>
    </cfRule>
  </conditionalFormatting>
  <conditionalFormatting sqref="D54">
    <cfRule type="cellIs" dxfId="444" priority="484" operator="notEqual">
      <formula>$R$23</formula>
    </cfRule>
  </conditionalFormatting>
  <conditionalFormatting sqref="D53:D54">
    <cfRule type="expression" dxfId="443" priority="483" stopIfTrue="1">
      <formula>D$68 = "Closed"</formula>
    </cfRule>
  </conditionalFormatting>
  <conditionalFormatting sqref="E53">
    <cfRule type="cellIs" dxfId="442" priority="482" operator="notEqual">
      <formula>$S$22</formula>
    </cfRule>
  </conditionalFormatting>
  <conditionalFormatting sqref="E54">
    <cfRule type="cellIs" dxfId="441" priority="481" operator="notEqual">
      <formula>$S$23</formula>
    </cfRule>
  </conditionalFormatting>
  <conditionalFormatting sqref="E53:E54">
    <cfRule type="expression" dxfId="440" priority="480" stopIfTrue="1">
      <formula>E$68 = "Closed"</formula>
    </cfRule>
  </conditionalFormatting>
  <conditionalFormatting sqref="F53">
    <cfRule type="cellIs" dxfId="439" priority="479" operator="notEqual">
      <formula>$T$22</formula>
    </cfRule>
  </conditionalFormatting>
  <conditionalFormatting sqref="F54">
    <cfRule type="cellIs" dxfId="438" priority="478" operator="notEqual">
      <formula>$T$23</formula>
    </cfRule>
  </conditionalFormatting>
  <conditionalFormatting sqref="F53:F54">
    <cfRule type="expression" dxfId="437" priority="477" stopIfTrue="1">
      <formula>F$68 = "Closed"</formula>
    </cfRule>
  </conditionalFormatting>
  <conditionalFormatting sqref="G53">
    <cfRule type="cellIs" dxfId="436" priority="476" operator="notEqual">
      <formula>$U$22</formula>
    </cfRule>
  </conditionalFormatting>
  <conditionalFormatting sqref="G54">
    <cfRule type="cellIs" dxfId="435" priority="475" operator="notEqual">
      <formula>$U$23</formula>
    </cfRule>
  </conditionalFormatting>
  <conditionalFormatting sqref="G53:G54">
    <cfRule type="expression" dxfId="434" priority="474" stopIfTrue="1">
      <formula>G$68 = "Closed"</formula>
    </cfRule>
  </conditionalFormatting>
  <conditionalFormatting sqref="B55:I55">
    <cfRule type="expression" dxfId="433" priority="473">
      <formula>B55&lt;&gt;0</formula>
    </cfRule>
  </conditionalFormatting>
  <conditionalFormatting sqref="H53:H54">
    <cfRule type="expression" dxfId="432" priority="472">
      <formula>LEN(TRIM(H53))&gt;0</formula>
    </cfRule>
  </conditionalFormatting>
  <conditionalFormatting sqref="H53:H54">
    <cfRule type="expression" dxfId="431" priority="471" stopIfTrue="1">
      <formula>$H$68 = "Closed"</formula>
    </cfRule>
  </conditionalFormatting>
  <conditionalFormatting sqref="C84">
    <cfRule type="cellIs" dxfId="430" priority="470" operator="notEqual">
      <formula>$Q$22</formula>
    </cfRule>
  </conditionalFormatting>
  <conditionalFormatting sqref="C85">
    <cfRule type="cellIs" dxfId="429" priority="469" operator="notEqual">
      <formula>$Q$23</formula>
    </cfRule>
  </conditionalFormatting>
  <conditionalFormatting sqref="C84:C85">
    <cfRule type="expression" dxfId="428" priority="468" stopIfTrue="1">
      <formula>C$99 = "Closed"</formula>
    </cfRule>
  </conditionalFormatting>
  <conditionalFormatting sqref="D84">
    <cfRule type="cellIs" dxfId="427" priority="467" operator="notEqual">
      <formula>$R$22</formula>
    </cfRule>
  </conditionalFormatting>
  <conditionalFormatting sqref="D85">
    <cfRule type="cellIs" dxfId="426" priority="466" operator="notEqual">
      <formula>$R$23</formula>
    </cfRule>
  </conditionalFormatting>
  <conditionalFormatting sqref="D84:D85">
    <cfRule type="expression" dxfId="425" priority="465" stopIfTrue="1">
      <formula>D$99 = "Closed"</formula>
    </cfRule>
  </conditionalFormatting>
  <conditionalFormatting sqref="E84">
    <cfRule type="cellIs" dxfId="424" priority="464" operator="notEqual">
      <formula>$S$22</formula>
    </cfRule>
  </conditionalFormatting>
  <conditionalFormatting sqref="E85">
    <cfRule type="cellIs" dxfId="423" priority="463" operator="notEqual">
      <formula>$S$23</formula>
    </cfRule>
  </conditionalFormatting>
  <conditionalFormatting sqref="E84:E85">
    <cfRule type="expression" dxfId="422" priority="462" stopIfTrue="1">
      <formula>E$99 = "Closed"</formula>
    </cfRule>
  </conditionalFormatting>
  <conditionalFormatting sqref="F84">
    <cfRule type="cellIs" dxfId="421" priority="461" operator="notEqual">
      <formula>$T$22</formula>
    </cfRule>
  </conditionalFormatting>
  <conditionalFormatting sqref="F85">
    <cfRule type="cellIs" dxfId="420" priority="460" operator="notEqual">
      <formula>$T$23</formula>
    </cfRule>
  </conditionalFormatting>
  <conditionalFormatting sqref="F84:F85">
    <cfRule type="expression" dxfId="419" priority="459" stopIfTrue="1">
      <formula>F$99 = "Closed"</formula>
    </cfRule>
  </conditionalFormatting>
  <conditionalFormatting sqref="G84">
    <cfRule type="cellIs" dxfId="418" priority="458" operator="notEqual">
      <formula>$U$22</formula>
    </cfRule>
  </conditionalFormatting>
  <conditionalFormatting sqref="G85">
    <cfRule type="cellIs" dxfId="417" priority="457" operator="notEqual">
      <formula>$U$23</formula>
    </cfRule>
  </conditionalFormatting>
  <conditionalFormatting sqref="G84:G85">
    <cfRule type="expression" dxfId="416" priority="456" stopIfTrue="1">
      <formula>G$99 = "Closed"</formula>
    </cfRule>
  </conditionalFormatting>
  <conditionalFormatting sqref="B86:I86">
    <cfRule type="expression" dxfId="415" priority="455">
      <formula>B86&lt;&gt;0</formula>
    </cfRule>
  </conditionalFormatting>
  <conditionalFormatting sqref="H84:H85">
    <cfRule type="expression" dxfId="414" priority="454">
      <formula>LEN(TRIM(H84))&gt;0</formula>
    </cfRule>
  </conditionalFormatting>
  <conditionalFormatting sqref="H84:H85">
    <cfRule type="expression" dxfId="413" priority="453" stopIfTrue="1">
      <formula>$H$99 = "Closed"</formula>
    </cfRule>
  </conditionalFormatting>
  <conditionalFormatting sqref="C115">
    <cfRule type="cellIs" dxfId="412" priority="452" operator="notEqual">
      <formula>$Q$22</formula>
    </cfRule>
  </conditionalFormatting>
  <conditionalFormatting sqref="C116">
    <cfRule type="cellIs" dxfId="411" priority="451" operator="notEqual">
      <formula>$Q$23</formula>
    </cfRule>
  </conditionalFormatting>
  <conditionalFormatting sqref="C115:C116">
    <cfRule type="expression" dxfId="410" priority="450" stopIfTrue="1">
      <formula>C$130 = "Closed"</formula>
    </cfRule>
  </conditionalFormatting>
  <conditionalFormatting sqref="D115">
    <cfRule type="cellIs" dxfId="409" priority="449" operator="notEqual">
      <formula>$R$22</formula>
    </cfRule>
  </conditionalFormatting>
  <conditionalFormatting sqref="D116">
    <cfRule type="cellIs" dxfId="408" priority="448" operator="notEqual">
      <formula>$R$23</formula>
    </cfRule>
  </conditionalFormatting>
  <conditionalFormatting sqref="D115:D116">
    <cfRule type="expression" dxfId="407" priority="447" stopIfTrue="1">
      <formula>D$130 = "Closed"</formula>
    </cfRule>
  </conditionalFormatting>
  <conditionalFormatting sqref="E115">
    <cfRule type="cellIs" dxfId="406" priority="446" operator="notEqual">
      <formula>$S$22</formula>
    </cfRule>
  </conditionalFormatting>
  <conditionalFormatting sqref="E116">
    <cfRule type="cellIs" dxfId="405" priority="445" operator="notEqual">
      <formula>$S$23</formula>
    </cfRule>
  </conditionalFormatting>
  <conditionalFormatting sqref="E115:E116">
    <cfRule type="expression" dxfId="404" priority="444" stopIfTrue="1">
      <formula>E$130 = "Closed"</formula>
    </cfRule>
  </conditionalFormatting>
  <conditionalFormatting sqref="F115">
    <cfRule type="cellIs" dxfId="403" priority="443" operator="notEqual">
      <formula>$T$22</formula>
    </cfRule>
  </conditionalFormatting>
  <conditionalFormatting sqref="F116">
    <cfRule type="cellIs" dxfId="402" priority="442" operator="notEqual">
      <formula>$T$23</formula>
    </cfRule>
  </conditionalFormatting>
  <conditionalFormatting sqref="F115:F116">
    <cfRule type="expression" dxfId="401" priority="441" stopIfTrue="1">
      <formula>F$130 = "Closed"</formula>
    </cfRule>
  </conditionalFormatting>
  <conditionalFormatting sqref="G115">
    <cfRule type="cellIs" dxfId="400" priority="440" operator="notEqual">
      <formula>$U$22</formula>
    </cfRule>
  </conditionalFormatting>
  <conditionalFormatting sqref="G116">
    <cfRule type="cellIs" dxfId="399" priority="439" operator="notEqual">
      <formula>$U$23</formula>
    </cfRule>
  </conditionalFormatting>
  <conditionalFormatting sqref="G115:G116">
    <cfRule type="expression" dxfId="398" priority="438" stopIfTrue="1">
      <formula>G$130 = "Closed"</formula>
    </cfRule>
  </conditionalFormatting>
  <conditionalFormatting sqref="B117:I117">
    <cfRule type="expression" dxfId="397" priority="437">
      <formula>B117&lt;&gt;0</formula>
    </cfRule>
  </conditionalFormatting>
  <conditionalFormatting sqref="H115:H116">
    <cfRule type="expression" dxfId="396" priority="436">
      <formula>LEN(TRIM(H115))&gt;0</formula>
    </cfRule>
  </conditionalFormatting>
  <conditionalFormatting sqref="H115:H116">
    <cfRule type="expression" dxfId="395" priority="435" stopIfTrue="1">
      <formula>$H$130 = "Closed"</formula>
    </cfRule>
  </conditionalFormatting>
  <conditionalFormatting sqref="C146">
    <cfRule type="cellIs" dxfId="394" priority="434" operator="notEqual">
      <formula>$Q$22</formula>
    </cfRule>
  </conditionalFormatting>
  <conditionalFormatting sqref="C147">
    <cfRule type="cellIs" dxfId="393" priority="433" operator="notEqual">
      <formula>$Q$23</formula>
    </cfRule>
  </conditionalFormatting>
  <conditionalFormatting sqref="C146:C147">
    <cfRule type="expression" dxfId="392" priority="432" stopIfTrue="1">
      <formula>C$161 = "Closed"</formula>
    </cfRule>
  </conditionalFormatting>
  <conditionalFormatting sqref="D146">
    <cfRule type="cellIs" dxfId="391" priority="431" operator="notEqual">
      <formula>$R$22</formula>
    </cfRule>
  </conditionalFormatting>
  <conditionalFormatting sqref="D147">
    <cfRule type="cellIs" dxfId="390" priority="430" operator="notEqual">
      <formula>$R$23</formula>
    </cfRule>
  </conditionalFormatting>
  <conditionalFormatting sqref="D146:D147">
    <cfRule type="expression" dxfId="389" priority="429" stopIfTrue="1">
      <formula>D$161 = "Closed"</formula>
    </cfRule>
  </conditionalFormatting>
  <conditionalFormatting sqref="E146">
    <cfRule type="cellIs" dxfId="388" priority="428" operator="notEqual">
      <formula>$S$22</formula>
    </cfRule>
  </conditionalFormatting>
  <conditionalFormatting sqref="E147">
    <cfRule type="cellIs" dxfId="387" priority="427" operator="notEqual">
      <formula>$S$23</formula>
    </cfRule>
  </conditionalFormatting>
  <conditionalFormatting sqref="E146:E147">
    <cfRule type="expression" dxfId="386" priority="426" stopIfTrue="1">
      <formula>E$161 = "Closed"</formula>
    </cfRule>
  </conditionalFormatting>
  <conditionalFormatting sqref="F146">
    <cfRule type="cellIs" dxfId="385" priority="425" operator="notEqual">
      <formula>$T$22</formula>
    </cfRule>
  </conditionalFormatting>
  <conditionalFormatting sqref="F147">
    <cfRule type="cellIs" dxfId="384" priority="424" operator="notEqual">
      <formula>$T$23</formula>
    </cfRule>
  </conditionalFormatting>
  <conditionalFormatting sqref="F146:F147">
    <cfRule type="expression" dxfId="383" priority="423" stopIfTrue="1">
      <formula>F$161 = "Closed"</formula>
    </cfRule>
  </conditionalFormatting>
  <conditionalFormatting sqref="G146">
    <cfRule type="cellIs" dxfId="382" priority="422" operator="notEqual">
      <formula>$U$22</formula>
    </cfRule>
  </conditionalFormatting>
  <conditionalFormatting sqref="G147">
    <cfRule type="cellIs" dxfId="381" priority="421" operator="notEqual">
      <formula>$U$23</formula>
    </cfRule>
  </conditionalFormatting>
  <conditionalFormatting sqref="G146:G147">
    <cfRule type="expression" dxfId="380" priority="420" stopIfTrue="1">
      <formula>G$161 = "Closed"</formula>
    </cfRule>
  </conditionalFormatting>
  <conditionalFormatting sqref="B148:I148">
    <cfRule type="expression" dxfId="379" priority="419">
      <formula>B148&lt;&gt;0</formula>
    </cfRule>
  </conditionalFormatting>
  <conditionalFormatting sqref="H146:H147">
    <cfRule type="expression" dxfId="378" priority="418">
      <formula>LEN(TRIM(H146))&gt;0</formula>
    </cfRule>
  </conditionalFormatting>
  <conditionalFormatting sqref="H146:H147">
    <cfRule type="expression" dxfId="377" priority="417" stopIfTrue="1">
      <formula>$H$161 = "Closed"</formula>
    </cfRule>
  </conditionalFormatting>
  <conditionalFormatting sqref="C177">
    <cfRule type="cellIs" dxfId="376" priority="416" operator="notEqual">
      <formula>$Q$22</formula>
    </cfRule>
  </conditionalFormatting>
  <conditionalFormatting sqref="C178">
    <cfRule type="cellIs" dxfId="375" priority="415" operator="notEqual">
      <formula>$Q$23</formula>
    </cfRule>
  </conditionalFormatting>
  <conditionalFormatting sqref="C177:C178">
    <cfRule type="expression" dxfId="374" priority="414" stopIfTrue="1">
      <formula>C$192 = "Closed"</formula>
    </cfRule>
  </conditionalFormatting>
  <conditionalFormatting sqref="D177">
    <cfRule type="cellIs" dxfId="373" priority="413" operator="notEqual">
      <formula>$R$22</formula>
    </cfRule>
  </conditionalFormatting>
  <conditionalFormatting sqref="D178">
    <cfRule type="cellIs" dxfId="372" priority="412" operator="notEqual">
      <formula>$R$23</formula>
    </cfRule>
  </conditionalFormatting>
  <conditionalFormatting sqref="D177:D178">
    <cfRule type="expression" dxfId="371" priority="411" stopIfTrue="1">
      <formula>D$192 = "Closed"</formula>
    </cfRule>
  </conditionalFormatting>
  <conditionalFormatting sqref="E177">
    <cfRule type="cellIs" dxfId="370" priority="410" operator="notEqual">
      <formula>$S$22</formula>
    </cfRule>
  </conditionalFormatting>
  <conditionalFormatting sqref="E178">
    <cfRule type="cellIs" dxfId="369" priority="409" operator="notEqual">
      <formula>$S$23</formula>
    </cfRule>
  </conditionalFormatting>
  <conditionalFormatting sqref="E177:E178">
    <cfRule type="expression" dxfId="368" priority="408" stopIfTrue="1">
      <formula>E$192 = "Closed"</formula>
    </cfRule>
  </conditionalFormatting>
  <conditionalFormatting sqref="F177">
    <cfRule type="cellIs" dxfId="367" priority="407" operator="notEqual">
      <formula>$T$22</formula>
    </cfRule>
  </conditionalFormatting>
  <conditionalFormatting sqref="F178">
    <cfRule type="cellIs" dxfId="366" priority="406" operator="notEqual">
      <formula>$T$23</formula>
    </cfRule>
  </conditionalFormatting>
  <conditionalFormatting sqref="F177:F178">
    <cfRule type="expression" dxfId="365" priority="405" stopIfTrue="1">
      <formula>F$192 = "Closed"</formula>
    </cfRule>
  </conditionalFormatting>
  <conditionalFormatting sqref="G177">
    <cfRule type="cellIs" dxfId="364" priority="404" operator="notEqual">
      <formula>$U$22</formula>
    </cfRule>
  </conditionalFormatting>
  <conditionalFormatting sqref="G178">
    <cfRule type="cellIs" dxfId="363" priority="403" operator="notEqual">
      <formula>$U$23</formula>
    </cfRule>
  </conditionalFormatting>
  <conditionalFormatting sqref="G177:G178">
    <cfRule type="expression" dxfId="362" priority="402" stopIfTrue="1">
      <formula>G$192 = "Closed"</formula>
    </cfRule>
  </conditionalFormatting>
  <conditionalFormatting sqref="B179:I179">
    <cfRule type="expression" dxfId="361" priority="401">
      <formula>B179&lt;&gt;0</formula>
    </cfRule>
  </conditionalFormatting>
  <conditionalFormatting sqref="H177:H178">
    <cfRule type="expression" dxfId="360" priority="400">
      <formula>LEN(TRIM(H177))&gt;0</formula>
    </cfRule>
  </conditionalFormatting>
  <conditionalFormatting sqref="H177:H178">
    <cfRule type="expression" dxfId="359" priority="399" stopIfTrue="1">
      <formula>$H$192 = "Closed"</formula>
    </cfRule>
  </conditionalFormatting>
  <conditionalFormatting sqref="C25">
    <cfRule type="cellIs" dxfId="358" priority="398" operator="notEqual">
      <formula>$Q$25</formula>
    </cfRule>
  </conditionalFormatting>
  <conditionalFormatting sqref="C26">
    <cfRule type="cellIs" dxfId="357" priority="397" operator="notEqual">
      <formula>$Q$26</formula>
    </cfRule>
  </conditionalFormatting>
  <conditionalFormatting sqref="C25:C26">
    <cfRule type="expression" dxfId="356" priority="396" stopIfTrue="1">
      <formula>C$37 = "Closed"</formula>
    </cfRule>
  </conditionalFormatting>
  <conditionalFormatting sqref="D25">
    <cfRule type="cellIs" dxfId="355" priority="395" operator="notEqual">
      <formula>$R$25</formula>
    </cfRule>
  </conditionalFormatting>
  <conditionalFormatting sqref="D26">
    <cfRule type="cellIs" dxfId="354" priority="394" operator="notEqual">
      <formula>$R$26</formula>
    </cfRule>
  </conditionalFormatting>
  <conditionalFormatting sqref="D25:D26">
    <cfRule type="expression" dxfId="353" priority="393" stopIfTrue="1">
      <formula>D$37 = "Closed"</formula>
    </cfRule>
  </conditionalFormatting>
  <conditionalFormatting sqref="E25">
    <cfRule type="cellIs" dxfId="352" priority="392" operator="notEqual">
      <formula>$S$25</formula>
    </cfRule>
  </conditionalFormatting>
  <conditionalFormatting sqref="E26">
    <cfRule type="cellIs" dxfId="351" priority="391" operator="notEqual">
      <formula>$S$26</formula>
    </cfRule>
  </conditionalFormatting>
  <conditionalFormatting sqref="E25:E26">
    <cfRule type="expression" dxfId="350" priority="390" stopIfTrue="1">
      <formula>E$37 = "Closed"</formula>
    </cfRule>
  </conditionalFormatting>
  <conditionalFormatting sqref="F25">
    <cfRule type="cellIs" dxfId="349" priority="389" operator="notEqual">
      <formula>$T$25</formula>
    </cfRule>
  </conditionalFormatting>
  <conditionalFormatting sqref="F26">
    <cfRule type="cellIs" dxfId="348" priority="388" operator="notEqual">
      <formula>$T$26</formula>
    </cfRule>
  </conditionalFormatting>
  <conditionalFormatting sqref="F25:F26">
    <cfRule type="expression" dxfId="347" priority="387" stopIfTrue="1">
      <formula>F$37 = "Closed"</formula>
    </cfRule>
  </conditionalFormatting>
  <conditionalFormatting sqref="G25">
    <cfRule type="cellIs" dxfId="346" priority="386" operator="notEqual">
      <formula>$U$25</formula>
    </cfRule>
  </conditionalFormatting>
  <conditionalFormatting sqref="G26">
    <cfRule type="cellIs" dxfId="345" priority="385" operator="notEqual">
      <formula>$U$26</formula>
    </cfRule>
  </conditionalFormatting>
  <conditionalFormatting sqref="G25:G26">
    <cfRule type="expression" dxfId="344" priority="384" stopIfTrue="1">
      <formula>G$37 = "Closed"</formula>
    </cfRule>
  </conditionalFormatting>
  <conditionalFormatting sqref="B27:I27">
    <cfRule type="expression" dxfId="343" priority="383">
      <formula>B27&lt;&gt;0</formula>
    </cfRule>
  </conditionalFormatting>
  <conditionalFormatting sqref="H25:H26">
    <cfRule type="expression" dxfId="342" priority="382">
      <formula>LEN(TRIM(H25))&gt;0</formula>
    </cfRule>
  </conditionalFormatting>
  <conditionalFormatting sqref="H25:H26">
    <cfRule type="expression" dxfId="341" priority="381" stopIfTrue="1">
      <formula>$H$37 = "Closed"</formula>
    </cfRule>
  </conditionalFormatting>
  <conditionalFormatting sqref="C56">
    <cfRule type="cellIs" dxfId="340" priority="380" operator="notEqual">
      <formula>$Q$25</formula>
    </cfRule>
  </conditionalFormatting>
  <conditionalFormatting sqref="C57">
    <cfRule type="cellIs" dxfId="339" priority="379" operator="notEqual">
      <formula>$Q$26</formula>
    </cfRule>
  </conditionalFormatting>
  <conditionalFormatting sqref="C56:C57">
    <cfRule type="expression" dxfId="338" priority="378" stopIfTrue="1">
      <formula>C$68 = "Closed"</formula>
    </cfRule>
  </conditionalFormatting>
  <conditionalFormatting sqref="D56">
    <cfRule type="cellIs" dxfId="337" priority="377" operator="notEqual">
      <formula>$R$25</formula>
    </cfRule>
  </conditionalFormatting>
  <conditionalFormatting sqref="D57">
    <cfRule type="cellIs" dxfId="336" priority="376" operator="notEqual">
      <formula>$R$26</formula>
    </cfRule>
  </conditionalFormatting>
  <conditionalFormatting sqref="D56:D57">
    <cfRule type="expression" dxfId="335" priority="375" stopIfTrue="1">
      <formula>D$68 = "Closed"</formula>
    </cfRule>
  </conditionalFormatting>
  <conditionalFormatting sqref="E56">
    <cfRule type="cellIs" dxfId="334" priority="374" operator="notEqual">
      <formula>$S$25</formula>
    </cfRule>
  </conditionalFormatting>
  <conditionalFormatting sqref="E57">
    <cfRule type="cellIs" dxfId="333" priority="373" operator="notEqual">
      <formula>$S$26</formula>
    </cfRule>
  </conditionalFormatting>
  <conditionalFormatting sqref="E56:E57">
    <cfRule type="expression" dxfId="332" priority="372" stopIfTrue="1">
      <formula>E$68 = "Closed"</formula>
    </cfRule>
  </conditionalFormatting>
  <conditionalFormatting sqref="F56">
    <cfRule type="cellIs" dxfId="331" priority="371" operator="notEqual">
      <formula>$T$25</formula>
    </cfRule>
  </conditionalFormatting>
  <conditionalFormatting sqref="F57">
    <cfRule type="cellIs" dxfId="330" priority="370" operator="notEqual">
      <formula>$T$26</formula>
    </cfRule>
  </conditionalFormatting>
  <conditionalFormatting sqref="F56:F57">
    <cfRule type="expression" dxfId="329" priority="369" stopIfTrue="1">
      <formula>F$68 = "Closed"</formula>
    </cfRule>
  </conditionalFormatting>
  <conditionalFormatting sqref="G56">
    <cfRule type="cellIs" dxfId="328" priority="368" operator="notEqual">
      <formula>$U$25</formula>
    </cfRule>
  </conditionalFormatting>
  <conditionalFormatting sqref="G57">
    <cfRule type="cellIs" dxfId="327" priority="367" operator="notEqual">
      <formula>$U$26</formula>
    </cfRule>
  </conditionalFormatting>
  <conditionalFormatting sqref="G56:G57">
    <cfRule type="expression" dxfId="326" priority="366" stopIfTrue="1">
      <formula>G$68 = "Closed"</formula>
    </cfRule>
  </conditionalFormatting>
  <conditionalFormatting sqref="B58:I58">
    <cfRule type="expression" dxfId="325" priority="365">
      <formula>B58&lt;&gt;0</formula>
    </cfRule>
  </conditionalFormatting>
  <conditionalFormatting sqref="H56:H57">
    <cfRule type="expression" dxfId="324" priority="364">
      <formula>LEN(TRIM(H56))&gt;0</formula>
    </cfRule>
  </conditionalFormatting>
  <conditionalFormatting sqref="H56:H57">
    <cfRule type="expression" dxfId="323" priority="363" stopIfTrue="1">
      <formula>$H$68 = "Closed"</formula>
    </cfRule>
  </conditionalFormatting>
  <conditionalFormatting sqref="C87">
    <cfRule type="cellIs" dxfId="322" priority="362" operator="notEqual">
      <formula>$Q$25</formula>
    </cfRule>
  </conditionalFormatting>
  <conditionalFormatting sqref="C88">
    <cfRule type="cellIs" dxfId="321" priority="361" operator="notEqual">
      <formula>$Q$26</formula>
    </cfRule>
  </conditionalFormatting>
  <conditionalFormatting sqref="C87:C88">
    <cfRule type="expression" dxfId="320" priority="360" stopIfTrue="1">
      <formula>C$99 = "Closed"</formula>
    </cfRule>
  </conditionalFormatting>
  <conditionalFormatting sqref="D87">
    <cfRule type="cellIs" dxfId="319" priority="359" operator="notEqual">
      <formula>$R$25</formula>
    </cfRule>
  </conditionalFormatting>
  <conditionalFormatting sqref="D88">
    <cfRule type="cellIs" dxfId="318" priority="358" operator="notEqual">
      <formula>$R$26</formula>
    </cfRule>
  </conditionalFormatting>
  <conditionalFormatting sqref="D87:D88">
    <cfRule type="expression" dxfId="317" priority="357" stopIfTrue="1">
      <formula>D$99 = "Closed"</formula>
    </cfRule>
  </conditionalFormatting>
  <conditionalFormatting sqref="E87">
    <cfRule type="cellIs" dxfId="316" priority="356" operator="notEqual">
      <formula>$S$25</formula>
    </cfRule>
  </conditionalFormatting>
  <conditionalFormatting sqref="E88">
    <cfRule type="cellIs" dxfId="315" priority="355" operator="notEqual">
      <formula>$S$26</formula>
    </cfRule>
  </conditionalFormatting>
  <conditionalFormatting sqref="E87:E88">
    <cfRule type="expression" dxfId="314" priority="354" stopIfTrue="1">
      <formula>E$99 = "Closed"</formula>
    </cfRule>
  </conditionalFormatting>
  <conditionalFormatting sqref="F87">
    <cfRule type="cellIs" dxfId="313" priority="353" operator="notEqual">
      <formula>$T$25</formula>
    </cfRule>
  </conditionalFormatting>
  <conditionalFormatting sqref="F88">
    <cfRule type="cellIs" dxfId="312" priority="352" operator="notEqual">
      <formula>$T$26</formula>
    </cfRule>
  </conditionalFormatting>
  <conditionalFormatting sqref="F87:F88">
    <cfRule type="expression" dxfId="311" priority="351" stopIfTrue="1">
      <formula>F$99 = "Closed"</formula>
    </cfRule>
  </conditionalFormatting>
  <conditionalFormatting sqref="G87">
    <cfRule type="cellIs" dxfId="310" priority="350" operator="notEqual">
      <formula>$U$25</formula>
    </cfRule>
  </conditionalFormatting>
  <conditionalFormatting sqref="G88">
    <cfRule type="cellIs" dxfId="309" priority="349" operator="notEqual">
      <formula>$U$26</formula>
    </cfRule>
  </conditionalFormatting>
  <conditionalFormatting sqref="G87:G88">
    <cfRule type="expression" dxfId="308" priority="348" stopIfTrue="1">
      <formula>G$99 = "Closed"</formula>
    </cfRule>
  </conditionalFormatting>
  <conditionalFormatting sqref="B89:I89">
    <cfRule type="expression" dxfId="307" priority="347">
      <formula>B89&lt;&gt;0</formula>
    </cfRule>
  </conditionalFormatting>
  <conditionalFormatting sqref="H87:H88">
    <cfRule type="expression" dxfId="306" priority="346">
      <formula>LEN(TRIM(H87))&gt;0</formula>
    </cfRule>
  </conditionalFormatting>
  <conditionalFormatting sqref="H87:H88">
    <cfRule type="expression" dxfId="305" priority="345" stopIfTrue="1">
      <formula>$H$99 = "Closed"</formula>
    </cfRule>
  </conditionalFormatting>
  <conditionalFormatting sqref="C118">
    <cfRule type="cellIs" dxfId="304" priority="344" operator="notEqual">
      <formula>$Q$25</formula>
    </cfRule>
  </conditionalFormatting>
  <conditionalFormatting sqref="C119">
    <cfRule type="cellIs" dxfId="303" priority="343" operator="notEqual">
      <formula>$Q$26</formula>
    </cfRule>
  </conditionalFormatting>
  <conditionalFormatting sqref="C118:C119">
    <cfRule type="expression" dxfId="302" priority="342" stopIfTrue="1">
      <formula>C$130 = "Closed"</formula>
    </cfRule>
  </conditionalFormatting>
  <conditionalFormatting sqref="D118">
    <cfRule type="cellIs" dxfId="301" priority="341" operator="notEqual">
      <formula>$R$25</formula>
    </cfRule>
  </conditionalFormatting>
  <conditionalFormatting sqref="D119">
    <cfRule type="cellIs" dxfId="300" priority="340" operator="notEqual">
      <formula>$R$26</formula>
    </cfRule>
  </conditionalFormatting>
  <conditionalFormatting sqref="D118:D119">
    <cfRule type="expression" dxfId="299" priority="339" stopIfTrue="1">
      <formula>D$130 = "Closed"</formula>
    </cfRule>
  </conditionalFormatting>
  <conditionalFormatting sqref="E118">
    <cfRule type="cellIs" dxfId="298" priority="338" operator="notEqual">
      <formula>$S$25</formula>
    </cfRule>
  </conditionalFormatting>
  <conditionalFormatting sqref="E119">
    <cfRule type="cellIs" dxfId="297" priority="337" operator="notEqual">
      <formula>$S$26</formula>
    </cfRule>
  </conditionalFormatting>
  <conditionalFormatting sqref="E118:E119">
    <cfRule type="expression" dxfId="296" priority="336" stopIfTrue="1">
      <formula>E$130 = "Closed"</formula>
    </cfRule>
  </conditionalFormatting>
  <conditionalFormatting sqref="F118">
    <cfRule type="cellIs" dxfId="295" priority="335" operator="notEqual">
      <formula>$T$25</formula>
    </cfRule>
  </conditionalFormatting>
  <conditionalFormatting sqref="F119">
    <cfRule type="cellIs" dxfId="294" priority="334" operator="notEqual">
      <formula>$T$26</formula>
    </cfRule>
  </conditionalFormatting>
  <conditionalFormatting sqref="F118:F119">
    <cfRule type="expression" dxfId="293" priority="333" stopIfTrue="1">
      <formula>F$130 = "Closed"</formula>
    </cfRule>
  </conditionalFormatting>
  <conditionalFormatting sqref="G118">
    <cfRule type="cellIs" dxfId="292" priority="332" operator="notEqual">
      <formula>$U$25</formula>
    </cfRule>
  </conditionalFormatting>
  <conditionalFormatting sqref="G119">
    <cfRule type="cellIs" dxfId="291" priority="331" operator="notEqual">
      <formula>$U$26</formula>
    </cfRule>
  </conditionalFormatting>
  <conditionalFormatting sqref="G118:G119">
    <cfRule type="expression" dxfId="290" priority="330" stopIfTrue="1">
      <formula>G$130 = "Closed"</formula>
    </cfRule>
  </conditionalFormatting>
  <conditionalFormatting sqref="B120:I120">
    <cfRule type="expression" dxfId="289" priority="329">
      <formula>B120&lt;&gt;0</formula>
    </cfRule>
  </conditionalFormatting>
  <conditionalFormatting sqref="H119">
    <cfRule type="expression" dxfId="288" priority="328">
      <formula>LEN(TRIM(H119))&gt;0</formula>
    </cfRule>
  </conditionalFormatting>
  <conditionalFormatting sqref="H119">
    <cfRule type="expression" dxfId="287" priority="327" stopIfTrue="1">
      <formula>$H$130 = "Closed"</formula>
    </cfRule>
  </conditionalFormatting>
  <conditionalFormatting sqref="C149">
    <cfRule type="cellIs" dxfId="286" priority="326" operator="notEqual">
      <formula>$Q$25</formula>
    </cfRule>
  </conditionalFormatting>
  <conditionalFormatting sqref="C150">
    <cfRule type="cellIs" dxfId="285" priority="325" operator="notEqual">
      <formula>$Q$26</formula>
    </cfRule>
  </conditionalFormatting>
  <conditionalFormatting sqref="C149:C150">
    <cfRule type="expression" dxfId="284" priority="324" stopIfTrue="1">
      <formula>C$161 = "Closed"</formula>
    </cfRule>
  </conditionalFormatting>
  <conditionalFormatting sqref="D149">
    <cfRule type="cellIs" dxfId="283" priority="323" operator="notEqual">
      <formula>$R$25</formula>
    </cfRule>
  </conditionalFormatting>
  <conditionalFormatting sqref="D150">
    <cfRule type="cellIs" dxfId="282" priority="322" operator="notEqual">
      <formula>$R$26</formula>
    </cfRule>
  </conditionalFormatting>
  <conditionalFormatting sqref="D149:D150">
    <cfRule type="expression" dxfId="281" priority="321" stopIfTrue="1">
      <formula>D$161 = "Closed"</formula>
    </cfRule>
  </conditionalFormatting>
  <conditionalFormatting sqref="E149">
    <cfRule type="cellIs" dxfId="280" priority="320" operator="notEqual">
      <formula>$S$25</formula>
    </cfRule>
  </conditionalFormatting>
  <conditionalFormatting sqref="E150">
    <cfRule type="cellIs" dxfId="279" priority="319" operator="notEqual">
      <formula>$S$26</formula>
    </cfRule>
  </conditionalFormatting>
  <conditionalFormatting sqref="E149:E150">
    <cfRule type="expression" dxfId="278" priority="318" stopIfTrue="1">
      <formula>E$161 = "Closed"</formula>
    </cfRule>
  </conditionalFormatting>
  <conditionalFormatting sqref="F149">
    <cfRule type="cellIs" dxfId="277" priority="317" operator="notEqual">
      <formula>$T$25</formula>
    </cfRule>
  </conditionalFormatting>
  <conditionalFormatting sqref="F150">
    <cfRule type="cellIs" dxfId="276" priority="316" operator="notEqual">
      <formula>$T$26</formula>
    </cfRule>
  </conditionalFormatting>
  <conditionalFormatting sqref="F149:F150">
    <cfRule type="expression" dxfId="275" priority="315" stopIfTrue="1">
      <formula>F$161 = "Closed"</formula>
    </cfRule>
  </conditionalFormatting>
  <conditionalFormatting sqref="G149">
    <cfRule type="cellIs" dxfId="274" priority="314" operator="notEqual">
      <formula>$U$25</formula>
    </cfRule>
  </conditionalFormatting>
  <conditionalFormatting sqref="G150">
    <cfRule type="cellIs" dxfId="273" priority="313" operator="notEqual">
      <formula>$U$26</formula>
    </cfRule>
  </conditionalFormatting>
  <conditionalFormatting sqref="G149:G150">
    <cfRule type="expression" dxfId="272" priority="312" stopIfTrue="1">
      <formula>G$161 = "Closed"</formula>
    </cfRule>
  </conditionalFormatting>
  <conditionalFormatting sqref="B151:I151">
    <cfRule type="expression" dxfId="271" priority="311">
      <formula>B151&lt;&gt;0</formula>
    </cfRule>
  </conditionalFormatting>
  <conditionalFormatting sqref="H149:H150">
    <cfRule type="expression" dxfId="270" priority="310">
      <formula>LEN(TRIM(H149))&gt;0</formula>
    </cfRule>
  </conditionalFormatting>
  <conditionalFormatting sqref="H149:H150">
    <cfRule type="expression" dxfId="269" priority="309" stopIfTrue="1">
      <formula>$H$161 = "Closed"</formula>
    </cfRule>
  </conditionalFormatting>
  <conditionalFormatting sqref="C180">
    <cfRule type="cellIs" dxfId="268" priority="308" operator="notEqual">
      <formula>$Q$25</formula>
    </cfRule>
  </conditionalFormatting>
  <conditionalFormatting sqref="C181">
    <cfRule type="cellIs" dxfId="267" priority="307" operator="notEqual">
      <formula>$Q$26</formula>
    </cfRule>
  </conditionalFormatting>
  <conditionalFormatting sqref="C180:C181">
    <cfRule type="expression" dxfId="266" priority="306" stopIfTrue="1">
      <formula>C$192 = "Closed"</formula>
    </cfRule>
  </conditionalFormatting>
  <conditionalFormatting sqref="D180">
    <cfRule type="cellIs" dxfId="265" priority="305" operator="notEqual">
      <formula>$R$25</formula>
    </cfRule>
  </conditionalFormatting>
  <conditionalFormatting sqref="D181">
    <cfRule type="cellIs" dxfId="264" priority="304" operator="notEqual">
      <formula>$R$26</formula>
    </cfRule>
  </conditionalFormatting>
  <conditionalFormatting sqref="D180:D181">
    <cfRule type="expression" dxfId="263" priority="303" stopIfTrue="1">
      <formula>D$192 = "Closed"</formula>
    </cfRule>
  </conditionalFormatting>
  <conditionalFormatting sqref="E180">
    <cfRule type="cellIs" dxfId="262" priority="302" operator="notEqual">
      <formula>$S$25</formula>
    </cfRule>
  </conditionalFormatting>
  <conditionalFormatting sqref="E181">
    <cfRule type="cellIs" dxfId="261" priority="301" operator="notEqual">
      <formula>$S$26</formula>
    </cfRule>
  </conditionalFormatting>
  <conditionalFormatting sqref="E180:E181">
    <cfRule type="expression" dxfId="260" priority="300" stopIfTrue="1">
      <formula>E$192 = "Closed"</formula>
    </cfRule>
  </conditionalFormatting>
  <conditionalFormatting sqref="F180">
    <cfRule type="cellIs" dxfId="259" priority="299" operator="notEqual">
      <formula>$T$25</formula>
    </cfRule>
  </conditionalFormatting>
  <conditionalFormatting sqref="F181">
    <cfRule type="cellIs" dxfId="258" priority="298" operator="notEqual">
      <formula>$T$26</formula>
    </cfRule>
  </conditionalFormatting>
  <conditionalFormatting sqref="F180:F181">
    <cfRule type="expression" dxfId="257" priority="297" stopIfTrue="1">
      <formula>F$192 = "Closed"</formula>
    </cfRule>
  </conditionalFormatting>
  <conditionalFormatting sqref="G180">
    <cfRule type="cellIs" dxfId="256" priority="296" operator="notEqual">
      <formula>$U$25</formula>
    </cfRule>
  </conditionalFormatting>
  <conditionalFormatting sqref="G181">
    <cfRule type="cellIs" dxfId="255" priority="295" operator="notEqual">
      <formula>$U$26</formula>
    </cfRule>
  </conditionalFormatting>
  <conditionalFormatting sqref="G180:G181">
    <cfRule type="expression" dxfId="254" priority="294" stopIfTrue="1">
      <formula>G$192 = "Closed"</formula>
    </cfRule>
  </conditionalFormatting>
  <conditionalFormatting sqref="B182:I182">
    <cfRule type="expression" dxfId="253" priority="293">
      <formula>B182&lt;&gt;0</formula>
    </cfRule>
  </conditionalFormatting>
  <conditionalFormatting sqref="H180:H181">
    <cfRule type="expression" dxfId="252" priority="292">
      <formula>LEN(TRIM(H180))&gt;0</formula>
    </cfRule>
  </conditionalFormatting>
  <conditionalFormatting sqref="H180:H181">
    <cfRule type="expression" dxfId="251" priority="291" stopIfTrue="1">
      <formula>$H$192 = "Closed"</formula>
    </cfRule>
  </conditionalFormatting>
  <conditionalFormatting sqref="C28">
    <cfRule type="cellIs" dxfId="250" priority="290" operator="notEqual">
      <formula>$Q$28</formula>
    </cfRule>
  </conditionalFormatting>
  <conditionalFormatting sqref="C29">
    <cfRule type="cellIs" dxfId="249" priority="289" operator="notEqual">
      <formula>$Q$29</formula>
    </cfRule>
  </conditionalFormatting>
  <conditionalFormatting sqref="C28:C29">
    <cfRule type="expression" dxfId="248" priority="288" stopIfTrue="1">
      <formula>C$37 = "Closed"</formula>
    </cfRule>
  </conditionalFormatting>
  <conditionalFormatting sqref="D28">
    <cfRule type="cellIs" dxfId="247" priority="287" operator="notEqual">
      <formula>$R$28</formula>
    </cfRule>
  </conditionalFormatting>
  <conditionalFormatting sqref="D29">
    <cfRule type="cellIs" dxfId="246" priority="286" operator="notEqual">
      <formula>$R$29</formula>
    </cfRule>
  </conditionalFormatting>
  <conditionalFormatting sqref="D28:D29">
    <cfRule type="expression" dxfId="245" priority="285" stopIfTrue="1">
      <formula>D$37 = "Closed"</formula>
    </cfRule>
  </conditionalFormatting>
  <conditionalFormatting sqref="E28">
    <cfRule type="cellIs" dxfId="244" priority="284" operator="notEqual">
      <formula>$S$28</formula>
    </cfRule>
  </conditionalFormatting>
  <conditionalFormatting sqref="E29">
    <cfRule type="cellIs" dxfId="243" priority="283" operator="notEqual">
      <formula>$S$29</formula>
    </cfRule>
  </conditionalFormatting>
  <conditionalFormatting sqref="E28:E29">
    <cfRule type="expression" dxfId="242" priority="282" stopIfTrue="1">
      <formula>E$37 = "Closed"</formula>
    </cfRule>
  </conditionalFormatting>
  <conditionalFormatting sqref="F28">
    <cfRule type="cellIs" dxfId="241" priority="281" operator="notEqual">
      <formula>$T$28</formula>
    </cfRule>
  </conditionalFormatting>
  <conditionalFormatting sqref="F29">
    <cfRule type="cellIs" dxfId="240" priority="280" operator="notEqual">
      <formula>$T$29</formula>
    </cfRule>
  </conditionalFormatting>
  <conditionalFormatting sqref="F28:F29">
    <cfRule type="expression" dxfId="239" priority="279" stopIfTrue="1">
      <formula>F$37 = "Closed"</formula>
    </cfRule>
  </conditionalFormatting>
  <conditionalFormatting sqref="G28">
    <cfRule type="cellIs" dxfId="238" priority="278" operator="notEqual">
      <formula>$U$28</formula>
    </cfRule>
  </conditionalFormatting>
  <conditionalFormatting sqref="G29">
    <cfRule type="cellIs" dxfId="237" priority="277" operator="notEqual">
      <formula>$U$29</formula>
    </cfRule>
  </conditionalFormatting>
  <conditionalFormatting sqref="G28:G29">
    <cfRule type="expression" dxfId="236" priority="276" stopIfTrue="1">
      <formula>G$37 = "Closed"</formula>
    </cfRule>
  </conditionalFormatting>
  <conditionalFormatting sqref="B30:I30">
    <cfRule type="expression" dxfId="235" priority="275">
      <formula>B30&lt;&gt;0</formula>
    </cfRule>
  </conditionalFormatting>
  <conditionalFormatting sqref="H29">
    <cfRule type="expression" dxfId="234" priority="274">
      <formula>LEN(TRIM(H29))&gt;0</formula>
    </cfRule>
  </conditionalFormatting>
  <conditionalFormatting sqref="H29">
    <cfRule type="expression" dxfId="233" priority="273" stopIfTrue="1">
      <formula>$H$37 = "Closed"</formula>
    </cfRule>
  </conditionalFormatting>
  <conditionalFormatting sqref="C59">
    <cfRule type="cellIs" dxfId="232" priority="272" operator="notEqual">
      <formula>$Q$28</formula>
    </cfRule>
  </conditionalFormatting>
  <conditionalFormatting sqref="C60">
    <cfRule type="cellIs" dxfId="231" priority="271" operator="notEqual">
      <formula>$Q$29</formula>
    </cfRule>
  </conditionalFormatting>
  <conditionalFormatting sqref="C59:C60">
    <cfRule type="expression" dxfId="230" priority="270" stopIfTrue="1">
      <formula>C$68 = "Closed"</formula>
    </cfRule>
  </conditionalFormatting>
  <conditionalFormatting sqref="D59:G59">
    <cfRule type="cellIs" dxfId="229" priority="269" operator="notEqual">
      <formula>$R$28</formula>
    </cfRule>
  </conditionalFormatting>
  <conditionalFormatting sqref="D60:G60">
    <cfRule type="cellIs" dxfId="228" priority="268" operator="notEqual">
      <formula>$R$29</formula>
    </cfRule>
  </conditionalFormatting>
  <conditionalFormatting sqref="D59:G60">
    <cfRule type="expression" dxfId="227" priority="267" stopIfTrue="1">
      <formula>D$68 = "Closed"</formula>
    </cfRule>
  </conditionalFormatting>
  <conditionalFormatting sqref="B61:I61">
    <cfRule type="expression" dxfId="226" priority="257">
      <formula>B61&lt;&gt;0</formula>
    </cfRule>
  </conditionalFormatting>
  <conditionalFormatting sqref="H59:H60">
    <cfRule type="expression" dxfId="225" priority="256">
      <formula>LEN(TRIM(H59))&gt;0</formula>
    </cfRule>
  </conditionalFormatting>
  <conditionalFormatting sqref="H59:H60">
    <cfRule type="expression" dxfId="224" priority="255" stopIfTrue="1">
      <formula>$H$68 = "Closed"</formula>
    </cfRule>
  </conditionalFormatting>
  <conditionalFormatting sqref="C90">
    <cfRule type="cellIs" dxfId="223" priority="254" operator="notEqual">
      <formula>$Q$28</formula>
    </cfRule>
  </conditionalFormatting>
  <conditionalFormatting sqref="C91">
    <cfRule type="cellIs" dxfId="222" priority="253" operator="notEqual">
      <formula>$Q$29</formula>
    </cfRule>
  </conditionalFormatting>
  <conditionalFormatting sqref="C90:C91">
    <cfRule type="expression" dxfId="221" priority="252" stopIfTrue="1">
      <formula>C$99 = "Closed"</formula>
    </cfRule>
  </conditionalFormatting>
  <conditionalFormatting sqref="D90">
    <cfRule type="cellIs" dxfId="220" priority="251" operator="notEqual">
      <formula>$R$28</formula>
    </cfRule>
  </conditionalFormatting>
  <conditionalFormatting sqref="D91">
    <cfRule type="cellIs" dxfId="219" priority="250" operator="notEqual">
      <formula>$R$29</formula>
    </cfRule>
  </conditionalFormatting>
  <conditionalFormatting sqref="D90:D91">
    <cfRule type="expression" dxfId="218" priority="249" stopIfTrue="1">
      <formula>D$99 = "Closed"</formula>
    </cfRule>
  </conditionalFormatting>
  <conditionalFormatting sqref="E90">
    <cfRule type="cellIs" dxfId="217" priority="248" operator="notEqual">
      <formula>$S$28</formula>
    </cfRule>
  </conditionalFormatting>
  <conditionalFormatting sqref="E91">
    <cfRule type="cellIs" dxfId="216" priority="247" operator="notEqual">
      <formula>$S$29</formula>
    </cfRule>
  </conditionalFormatting>
  <conditionalFormatting sqref="E90:E91">
    <cfRule type="expression" dxfId="215" priority="246" stopIfTrue="1">
      <formula>E$99 = "Closed"</formula>
    </cfRule>
  </conditionalFormatting>
  <conditionalFormatting sqref="F90">
    <cfRule type="cellIs" dxfId="214" priority="245" operator="notEqual">
      <formula>$T$28</formula>
    </cfRule>
  </conditionalFormatting>
  <conditionalFormatting sqref="F91">
    <cfRule type="cellIs" dxfId="213" priority="244" operator="notEqual">
      <formula>$T$29</formula>
    </cfRule>
  </conditionalFormatting>
  <conditionalFormatting sqref="F90:F91">
    <cfRule type="expression" dxfId="212" priority="243" stopIfTrue="1">
      <formula>F$99 = "Closed"</formula>
    </cfRule>
  </conditionalFormatting>
  <conditionalFormatting sqref="G90">
    <cfRule type="cellIs" dxfId="211" priority="242" operator="notEqual">
      <formula>$U$28</formula>
    </cfRule>
  </conditionalFormatting>
  <conditionalFormatting sqref="G91">
    <cfRule type="cellIs" dxfId="210" priority="241" operator="notEqual">
      <formula>$U$29</formula>
    </cfRule>
  </conditionalFormatting>
  <conditionalFormatting sqref="G90:G91">
    <cfRule type="expression" dxfId="209" priority="240" stopIfTrue="1">
      <formula>G$99 = "Closed"</formula>
    </cfRule>
  </conditionalFormatting>
  <conditionalFormatting sqref="B92:I92">
    <cfRule type="expression" dxfId="208" priority="239">
      <formula>B92&lt;&gt;0</formula>
    </cfRule>
  </conditionalFormatting>
  <conditionalFormatting sqref="H90:H91">
    <cfRule type="expression" dxfId="207" priority="238">
      <formula>LEN(TRIM(H90))&gt;0</formula>
    </cfRule>
  </conditionalFormatting>
  <conditionalFormatting sqref="H90:H91">
    <cfRule type="expression" dxfId="206" priority="237" stopIfTrue="1">
      <formula>$H$99 = "Closed"</formula>
    </cfRule>
  </conditionalFormatting>
  <conditionalFormatting sqref="C121">
    <cfRule type="cellIs" dxfId="205" priority="236" operator="notEqual">
      <formula>$Q$28</formula>
    </cfRule>
  </conditionalFormatting>
  <conditionalFormatting sqref="C122">
    <cfRule type="cellIs" dxfId="204" priority="235" operator="notEqual">
      <formula>$Q$29</formula>
    </cfRule>
  </conditionalFormatting>
  <conditionalFormatting sqref="C121:C122">
    <cfRule type="expression" dxfId="203" priority="234" stopIfTrue="1">
      <formula>C$130 = "Closed"</formula>
    </cfRule>
  </conditionalFormatting>
  <conditionalFormatting sqref="D121">
    <cfRule type="cellIs" dxfId="202" priority="233" operator="notEqual">
      <formula>$R$28</formula>
    </cfRule>
  </conditionalFormatting>
  <conditionalFormatting sqref="D122">
    <cfRule type="cellIs" dxfId="201" priority="232" operator="notEqual">
      <formula>$R$29</formula>
    </cfRule>
  </conditionalFormatting>
  <conditionalFormatting sqref="D121:D122">
    <cfRule type="expression" dxfId="200" priority="231" stopIfTrue="1">
      <formula>D$130 = "Closed"</formula>
    </cfRule>
  </conditionalFormatting>
  <conditionalFormatting sqref="E121">
    <cfRule type="cellIs" dxfId="199" priority="230" operator="notEqual">
      <formula>$S$28</formula>
    </cfRule>
  </conditionalFormatting>
  <conditionalFormatting sqref="E122">
    <cfRule type="cellIs" dxfId="198" priority="229" operator="notEqual">
      <formula>$S$29</formula>
    </cfRule>
  </conditionalFormatting>
  <conditionalFormatting sqref="E121:E122">
    <cfRule type="expression" dxfId="197" priority="228" stopIfTrue="1">
      <formula>E$130 = "Closed"</formula>
    </cfRule>
  </conditionalFormatting>
  <conditionalFormatting sqref="F121">
    <cfRule type="cellIs" dxfId="196" priority="227" operator="notEqual">
      <formula>$T$28</formula>
    </cfRule>
  </conditionalFormatting>
  <conditionalFormatting sqref="F122">
    <cfRule type="cellIs" dxfId="195" priority="226" operator="notEqual">
      <formula>$T$29</formula>
    </cfRule>
  </conditionalFormatting>
  <conditionalFormatting sqref="F121:F122">
    <cfRule type="expression" dxfId="194" priority="225" stopIfTrue="1">
      <formula>F$130 = "Closed"</formula>
    </cfRule>
  </conditionalFormatting>
  <conditionalFormatting sqref="G121">
    <cfRule type="cellIs" dxfId="193" priority="224" operator="notEqual">
      <formula>$U$28</formula>
    </cfRule>
  </conditionalFormatting>
  <conditionalFormatting sqref="G122">
    <cfRule type="cellIs" dxfId="192" priority="223" operator="notEqual">
      <formula>$U$29</formula>
    </cfRule>
  </conditionalFormatting>
  <conditionalFormatting sqref="G121:G122">
    <cfRule type="expression" dxfId="191" priority="222" stopIfTrue="1">
      <formula>G$130 = "Closed"</formula>
    </cfRule>
  </conditionalFormatting>
  <conditionalFormatting sqref="B123:I123">
    <cfRule type="expression" dxfId="190" priority="221">
      <formula>B123&lt;&gt;0</formula>
    </cfRule>
  </conditionalFormatting>
  <conditionalFormatting sqref="H121:H122">
    <cfRule type="expression" dxfId="189" priority="220">
      <formula>LEN(TRIM(H121))&gt;0</formula>
    </cfRule>
  </conditionalFormatting>
  <conditionalFormatting sqref="H121:H122">
    <cfRule type="expression" dxfId="188" priority="219" stopIfTrue="1">
      <formula>$H$130 = "Closed"</formula>
    </cfRule>
  </conditionalFormatting>
  <conditionalFormatting sqref="C152">
    <cfRule type="cellIs" dxfId="187" priority="218" operator="notEqual">
      <formula>$Q$28</formula>
    </cfRule>
  </conditionalFormatting>
  <conditionalFormatting sqref="C153">
    <cfRule type="cellIs" dxfId="186" priority="217" operator="notEqual">
      <formula>$Q$29</formula>
    </cfRule>
  </conditionalFormatting>
  <conditionalFormatting sqref="C152:C153">
    <cfRule type="expression" dxfId="185" priority="216" stopIfTrue="1">
      <formula>C$161 = "Closed"</formula>
    </cfRule>
  </conditionalFormatting>
  <conditionalFormatting sqref="D152">
    <cfRule type="cellIs" dxfId="184" priority="215" operator="notEqual">
      <formula>$R$28</formula>
    </cfRule>
  </conditionalFormatting>
  <conditionalFormatting sqref="D153">
    <cfRule type="cellIs" dxfId="183" priority="214" operator="notEqual">
      <formula>$R$29</formula>
    </cfRule>
  </conditionalFormatting>
  <conditionalFormatting sqref="D152:D153">
    <cfRule type="expression" dxfId="182" priority="213" stopIfTrue="1">
      <formula>D$161 = "Closed"</formula>
    </cfRule>
  </conditionalFormatting>
  <conditionalFormatting sqref="E152">
    <cfRule type="cellIs" dxfId="181" priority="212" operator="notEqual">
      <formula>$S$28</formula>
    </cfRule>
  </conditionalFormatting>
  <conditionalFormatting sqref="E153">
    <cfRule type="cellIs" dxfId="180" priority="211" operator="notEqual">
      <formula>$S$29</formula>
    </cfRule>
  </conditionalFormatting>
  <conditionalFormatting sqref="E152:E153">
    <cfRule type="expression" dxfId="179" priority="210" stopIfTrue="1">
      <formula>E$161 = "Closed"</formula>
    </cfRule>
  </conditionalFormatting>
  <conditionalFormatting sqref="F152">
    <cfRule type="cellIs" dxfId="178" priority="209" operator="notEqual">
      <formula>$T$28</formula>
    </cfRule>
  </conditionalFormatting>
  <conditionalFormatting sqref="F153">
    <cfRule type="cellIs" dxfId="177" priority="208" operator="notEqual">
      <formula>$T$29</formula>
    </cfRule>
  </conditionalFormatting>
  <conditionalFormatting sqref="F152:F153">
    <cfRule type="expression" dxfId="176" priority="207" stopIfTrue="1">
      <formula>F$161 = "Closed"</formula>
    </cfRule>
  </conditionalFormatting>
  <conditionalFormatting sqref="G152">
    <cfRule type="cellIs" dxfId="175" priority="206" operator="notEqual">
      <formula>$U$28</formula>
    </cfRule>
  </conditionalFormatting>
  <conditionalFormatting sqref="G153">
    <cfRule type="cellIs" dxfId="174" priority="205" operator="notEqual">
      <formula>$U$29</formula>
    </cfRule>
  </conditionalFormatting>
  <conditionalFormatting sqref="G152:G153">
    <cfRule type="expression" dxfId="173" priority="204" stopIfTrue="1">
      <formula>G$161 = "Closed"</formula>
    </cfRule>
  </conditionalFormatting>
  <conditionalFormatting sqref="B154:I154">
    <cfRule type="expression" dxfId="172" priority="203">
      <formula>B154&lt;&gt;0</formula>
    </cfRule>
  </conditionalFormatting>
  <conditionalFormatting sqref="H152:H153">
    <cfRule type="expression" dxfId="171" priority="202">
      <formula>LEN(TRIM(H152))&gt;0</formula>
    </cfRule>
  </conditionalFormatting>
  <conditionalFormatting sqref="H152:H153">
    <cfRule type="expression" dxfId="170" priority="201" stopIfTrue="1">
      <formula>$H$161 = "Closed"</formula>
    </cfRule>
  </conditionalFormatting>
  <conditionalFormatting sqref="C183">
    <cfRule type="cellIs" dxfId="169" priority="200" operator="notEqual">
      <formula>$Q$28</formula>
    </cfRule>
  </conditionalFormatting>
  <conditionalFormatting sqref="C184">
    <cfRule type="cellIs" dxfId="168" priority="199" operator="notEqual">
      <formula>$Q$29</formula>
    </cfRule>
  </conditionalFormatting>
  <conditionalFormatting sqref="C183:C184">
    <cfRule type="expression" dxfId="167" priority="198" stopIfTrue="1">
      <formula>C$192 = "Closed"</formula>
    </cfRule>
  </conditionalFormatting>
  <conditionalFormatting sqref="D183">
    <cfRule type="cellIs" dxfId="166" priority="197" operator="notEqual">
      <formula>$R$28</formula>
    </cfRule>
  </conditionalFormatting>
  <conditionalFormatting sqref="D184">
    <cfRule type="cellIs" dxfId="165" priority="196" operator="notEqual">
      <formula>$R$29</formula>
    </cfRule>
  </conditionalFormatting>
  <conditionalFormatting sqref="D183:D184">
    <cfRule type="expression" dxfId="164" priority="195" stopIfTrue="1">
      <formula>D$192 = "Closed"</formula>
    </cfRule>
  </conditionalFormatting>
  <conditionalFormatting sqref="E183">
    <cfRule type="cellIs" dxfId="163" priority="194" operator="notEqual">
      <formula>$S$28</formula>
    </cfRule>
  </conditionalFormatting>
  <conditionalFormatting sqref="E184">
    <cfRule type="cellIs" dxfId="162" priority="193" operator="notEqual">
      <formula>$S$29</formula>
    </cfRule>
  </conditionalFormatting>
  <conditionalFormatting sqref="E183:E184">
    <cfRule type="expression" dxfId="161" priority="192" stopIfTrue="1">
      <formula>E$192 = "Closed"</formula>
    </cfRule>
  </conditionalFormatting>
  <conditionalFormatting sqref="F183">
    <cfRule type="cellIs" dxfId="160" priority="191" operator="notEqual">
      <formula>$T$28</formula>
    </cfRule>
  </conditionalFormatting>
  <conditionalFormatting sqref="F184">
    <cfRule type="cellIs" dxfId="159" priority="190" operator="notEqual">
      <formula>$T$29</formula>
    </cfRule>
  </conditionalFormatting>
  <conditionalFormatting sqref="F183:F184">
    <cfRule type="expression" dxfId="158" priority="189" stopIfTrue="1">
      <formula>F$192 = "Closed"</formula>
    </cfRule>
  </conditionalFormatting>
  <conditionalFormatting sqref="G183">
    <cfRule type="cellIs" dxfId="157" priority="188" operator="notEqual">
      <formula>$U$28</formula>
    </cfRule>
  </conditionalFormatting>
  <conditionalFormatting sqref="G184">
    <cfRule type="cellIs" dxfId="156" priority="187" operator="notEqual">
      <formula>$U$29</formula>
    </cfRule>
  </conditionalFormatting>
  <conditionalFormatting sqref="G183:G184">
    <cfRule type="expression" dxfId="155" priority="186" stopIfTrue="1">
      <formula>G$192 = "Closed"</formula>
    </cfRule>
  </conditionalFormatting>
  <conditionalFormatting sqref="B185:I185">
    <cfRule type="expression" dxfId="154" priority="185">
      <formula>B185&lt;&gt;0</formula>
    </cfRule>
  </conditionalFormatting>
  <conditionalFormatting sqref="H183:H184">
    <cfRule type="expression" dxfId="153" priority="184">
      <formula>LEN(TRIM(H183))&gt;0</formula>
    </cfRule>
  </conditionalFormatting>
  <conditionalFormatting sqref="H183:H184">
    <cfRule type="expression" dxfId="152" priority="183" stopIfTrue="1">
      <formula>$H$192 = "Closed"</formula>
    </cfRule>
  </conditionalFormatting>
  <conditionalFormatting sqref="C31">
    <cfRule type="cellIs" dxfId="151" priority="182" operator="notEqual">
      <formula>$Q$31</formula>
    </cfRule>
  </conditionalFormatting>
  <conditionalFormatting sqref="C32">
    <cfRule type="cellIs" dxfId="150" priority="181" operator="notEqual">
      <formula>$Q$32</formula>
    </cfRule>
  </conditionalFormatting>
  <conditionalFormatting sqref="C31:C32">
    <cfRule type="expression" dxfId="149" priority="180" stopIfTrue="1">
      <formula>C$37 = "Closed"</formula>
    </cfRule>
  </conditionalFormatting>
  <conditionalFormatting sqref="D31">
    <cfRule type="cellIs" dxfId="148" priority="179" operator="notEqual">
      <formula>$R$31</formula>
    </cfRule>
  </conditionalFormatting>
  <conditionalFormatting sqref="D32">
    <cfRule type="cellIs" dxfId="147" priority="178" operator="notEqual">
      <formula>$R$32</formula>
    </cfRule>
  </conditionalFormatting>
  <conditionalFormatting sqref="D31:D32">
    <cfRule type="expression" dxfId="146" priority="177" stopIfTrue="1">
      <formula>D$37 = "Closed"</formula>
    </cfRule>
  </conditionalFormatting>
  <conditionalFormatting sqref="E31">
    <cfRule type="cellIs" dxfId="145" priority="176" operator="notEqual">
      <formula>$S$31</formula>
    </cfRule>
  </conditionalFormatting>
  <conditionalFormatting sqref="E32">
    <cfRule type="cellIs" dxfId="144" priority="175" operator="notEqual">
      <formula>$S$32</formula>
    </cfRule>
  </conditionalFormatting>
  <conditionalFormatting sqref="E31:E32">
    <cfRule type="expression" dxfId="143" priority="174" stopIfTrue="1">
      <formula>E$37 = "Closed"</formula>
    </cfRule>
  </conditionalFormatting>
  <conditionalFormatting sqref="F31">
    <cfRule type="cellIs" dxfId="142" priority="173" operator="notEqual">
      <formula>$T$31</formula>
    </cfRule>
  </conditionalFormatting>
  <conditionalFormatting sqref="F32">
    <cfRule type="cellIs" dxfId="141" priority="172" operator="notEqual">
      <formula>$T$32</formula>
    </cfRule>
  </conditionalFormatting>
  <conditionalFormatting sqref="F31:F32">
    <cfRule type="expression" dxfId="140" priority="171" stopIfTrue="1">
      <formula>F$37 = "Closed"</formula>
    </cfRule>
  </conditionalFormatting>
  <conditionalFormatting sqref="G31">
    <cfRule type="cellIs" dxfId="139" priority="170" operator="notEqual">
      <formula>$U$31</formula>
    </cfRule>
  </conditionalFormatting>
  <conditionalFormatting sqref="G32">
    <cfRule type="cellIs" dxfId="138" priority="169" operator="notEqual">
      <formula>$U$32</formula>
    </cfRule>
  </conditionalFormatting>
  <conditionalFormatting sqref="G31:G32">
    <cfRule type="expression" dxfId="137" priority="168" stopIfTrue="1">
      <formula>G$37 = "Closed"</formula>
    </cfRule>
  </conditionalFormatting>
  <conditionalFormatting sqref="B33:I33">
    <cfRule type="expression" dxfId="136" priority="167">
      <formula>B33&lt;&gt;0</formula>
    </cfRule>
  </conditionalFormatting>
  <conditionalFormatting sqref="H31:H32">
    <cfRule type="expression" dxfId="135" priority="166">
      <formula>LEN(TRIM(H31))&gt;0</formula>
    </cfRule>
  </conditionalFormatting>
  <conditionalFormatting sqref="H31:H32">
    <cfRule type="expression" dxfId="134" priority="165" stopIfTrue="1">
      <formula>$H$37 = "Closed"</formula>
    </cfRule>
  </conditionalFormatting>
  <conditionalFormatting sqref="C62">
    <cfRule type="cellIs" dxfId="133" priority="164" operator="notEqual">
      <formula>$Q$31</formula>
    </cfRule>
  </conditionalFormatting>
  <conditionalFormatting sqref="C63">
    <cfRule type="cellIs" dxfId="132" priority="163" operator="notEqual">
      <formula>$Q$32</formula>
    </cfRule>
  </conditionalFormatting>
  <conditionalFormatting sqref="C62:C63">
    <cfRule type="expression" dxfId="131" priority="162" stopIfTrue="1">
      <formula>C$68 = "Closed"</formula>
    </cfRule>
  </conditionalFormatting>
  <conditionalFormatting sqref="D62">
    <cfRule type="cellIs" dxfId="130" priority="161" operator="notEqual">
      <formula>$R$31</formula>
    </cfRule>
  </conditionalFormatting>
  <conditionalFormatting sqref="D63">
    <cfRule type="cellIs" dxfId="129" priority="160" operator="notEqual">
      <formula>$R$32</formula>
    </cfRule>
  </conditionalFormatting>
  <conditionalFormatting sqref="D62:D63">
    <cfRule type="expression" dxfId="128" priority="159" stopIfTrue="1">
      <formula>D$68 = "Closed"</formula>
    </cfRule>
  </conditionalFormatting>
  <conditionalFormatting sqref="E62">
    <cfRule type="cellIs" dxfId="127" priority="158" operator="notEqual">
      <formula>$S$31</formula>
    </cfRule>
  </conditionalFormatting>
  <conditionalFormatting sqref="E63">
    <cfRule type="cellIs" dxfId="126" priority="157" operator="notEqual">
      <formula>$S$32</formula>
    </cfRule>
  </conditionalFormatting>
  <conditionalFormatting sqref="E62:E63">
    <cfRule type="expression" dxfId="125" priority="156" stopIfTrue="1">
      <formula>E$68 = "Closed"</formula>
    </cfRule>
  </conditionalFormatting>
  <conditionalFormatting sqref="F62">
    <cfRule type="cellIs" dxfId="124" priority="155" operator="notEqual">
      <formula>$T$31</formula>
    </cfRule>
  </conditionalFormatting>
  <conditionalFormatting sqref="F63">
    <cfRule type="cellIs" dxfId="123" priority="154" operator="notEqual">
      <formula>$T$32</formula>
    </cfRule>
  </conditionalFormatting>
  <conditionalFormatting sqref="F62:F63">
    <cfRule type="expression" dxfId="122" priority="153" stopIfTrue="1">
      <formula>F$68 = "Closed"</formula>
    </cfRule>
  </conditionalFormatting>
  <conditionalFormatting sqref="G62">
    <cfRule type="cellIs" dxfId="121" priority="152" operator="notEqual">
      <formula>$U$31</formula>
    </cfRule>
  </conditionalFormatting>
  <conditionalFormatting sqref="G63">
    <cfRule type="cellIs" dxfId="120" priority="151" operator="notEqual">
      <formula>$U$32</formula>
    </cfRule>
  </conditionalFormatting>
  <conditionalFormatting sqref="G62:G63">
    <cfRule type="expression" dxfId="119" priority="150" stopIfTrue="1">
      <formula>G$68 = "Closed"</formula>
    </cfRule>
  </conditionalFormatting>
  <conditionalFormatting sqref="B64:I64">
    <cfRule type="expression" dxfId="118" priority="149">
      <formula>B64&lt;&gt;0</formula>
    </cfRule>
  </conditionalFormatting>
  <conditionalFormatting sqref="H62:H63">
    <cfRule type="expression" dxfId="117" priority="148">
      <formula>LEN(TRIM(H62))&gt;0</formula>
    </cfRule>
  </conditionalFormatting>
  <conditionalFormatting sqref="H62:H63">
    <cfRule type="expression" dxfId="116" priority="147" stopIfTrue="1">
      <formula>$H$68 = "Closed"</formula>
    </cfRule>
  </conditionalFormatting>
  <conditionalFormatting sqref="C93">
    <cfRule type="cellIs" dxfId="115" priority="146" operator="notEqual">
      <formula>$Q$31</formula>
    </cfRule>
  </conditionalFormatting>
  <conditionalFormatting sqref="C94">
    <cfRule type="cellIs" dxfId="114" priority="145" operator="notEqual">
      <formula>$Q$32</formula>
    </cfRule>
  </conditionalFormatting>
  <conditionalFormatting sqref="C93:C94">
    <cfRule type="expression" dxfId="113" priority="144" stopIfTrue="1">
      <formula>C$99 = "Closed"</formula>
    </cfRule>
  </conditionalFormatting>
  <conditionalFormatting sqref="D93">
    <cfRule type="cellIs" dxfId="112" priority="143" operator="notEqual">
      <formula>$R$31</formula>
    </cfRule>
  </conditionalFormatting>
  <conditionalFormatting sqref="D94">
    <cfRule type="cellIs" dxfId="111" priority="142" operator="notEqual">
      <formula>$R$32</formula>
    </cfRule>
  </conditionalFormatting>
  <conditionalFormatting sqref="D93:D94">
    <cfRule type="expression" dxfId="110" priority="141" stopIfTrue="1">
      <formula>D$99 = "Closed"</formula>
    </cfRule>
  </conditionalFormatting>
  <conditionalFormatting sqref="E93">
    <cfRule type="cellIs" dxfId="109" priority="140" operator="notEqual">
      <formula>$S$31</formula>
    </cfRule>
  </conditionalFormatting>
  <conditionalFormatting sqref="E94">
    <cfRule type="cellIs" dxfId="108" priority="139" operator="notEqual">
      <formula>$S$32</formula>
    </cfRule>
  </conditionalFormatting>
  <conditionalFormatting sqref="E93:E94">
    <cfRule type="expression" dxfId="107" priority="138" stopIfTrue="1">
      <formula>E$99 = "Closed"</formula>
    </cfRule>
  </conditionalFormatting>
  <conditionalFormatting sqref="F93">
    <cfRule type="cellIs" dxfId="106" priority="137" operator="notEqual">
      <formula>$T$31</formula>
    </cfRule>
  </conditionalFormatting>
  <conditionalFormatting sqref="F94">
    <cfRule type="cellIs" dxfId="105" priority="136" operator="notEqual">
      <formula>$T$32</formula>
    </cfRule>
  </conditionalFormatting>
  <conditionalFormatting sqref="F93:F94">
    <cfRule type="expression" dxfId="104" priority="135" stopIfTrue="1">
      <formula>F$99 = "Closed"</formula>
    </cfRule>
  </conditionalFormatting>
  <conditionalFormatting sqref="G93">
    <cfRule type="cellIs" dxfId="103" priority="134" operator="notEqual">
      <formula>$U$31</formula>
    </cfRule>
  </conditionalFormatting>
  <conditionalFormatting sqref="G94">
    <cfRule type="cellIs" dxfId="102" priority="133" operator="notEqual">
      <formula>$U$32</formula>
    </cfRule>
  </conditionalFormatting>
  <conditionalFormatting sqref="G93:G94">
    <cfRule type="expression" dxfId="101" priority="132" stopIfTrue="1">
      <formula>G$99 = "Closed"</formula>
    </cfRule>
  </conditionalFormatting>
  <conditionalFormatting sqref="B95:I95">
    <cfRule type="expression" dxfId="100" priority="131">
      <formula>B95&lt;&gt;0</formula>
    </cfRule>
  </conditionalFormatting>
  <conditionalFormatting sqref="H93:H94">
    <cfRule type="expression" dxfId="99" priority="130">
      <formula>LEN(TRIM(H93))&gt;0</formula>
    </cfRule>
  </conditionalFormatting>
  <conditionalFormatting sqref="H93:H94">
    <cfRule type="expression" dxfId="98" priority="129" stopIfTrue="1">
      <formula>$H$99 = "Closed"</formula>
    </cfRule>
  </conditionalFormatting>
  <conditionalFormatting sqref="C124">
    <cfRule type="cellIs" dxfId="97" priority="128" operator="notEqual">
      <formula>$Q$31</formula>
    </cfRule>
  </conditionalFormatting>
  <conditionalFormatting sqref="C125">
    <cfRule type="cellIs" dxfId="96" priority="127" operator="notEqual">
      <formula>$Q$32</formula>
    </cfRule>
  </conditionalFormatting>
  <conditionalFormatting sqref="C124:C125">
    <cfRule type="expression" dxfId="95" priority="126" stopIfTrue="1">
      <formula>C$130 = "Closed"</formula>
    </cfRule>
  </conditionalFormatting>
  <conditionalFormatting sqref="D124">
    <cfRule type="cellIs" dxfId="94" priority="125" operator="notEqual">
      <formula>$R$31</formula>
    </cfRule>
  </conditionalFormatting>
  <conditionalFormatting sqref="D125">
    <cfRule type="cellIs" dxfId="93" priority="124" operator="notEqual">
      <formula>$R$32</formula>
    </cfRule>
  </conditionalFormatting>
  <conditionalFormatting sqref="D124:D125">
    <cfRule type="expression" dxfId="92" priority="123" stopIfTrue="1">
      <formula>D$130 = "Closed"</formula>
    </cfRule>
  </conditionalFormatting>
  <conditionalFormatting sqref="E124">
    <cfRule type="cellIs" dxfId="91" priority="122" operator="notEqual">
      <formula>$S$31</formula>
    </cfRule>
  </conditionalFormatting>
  <conditionalFormatting sqref="E125">
    <cfRule type="cellIs" dxfId="90" priority="121" operator="notEqual">
      <formula>$S$32</formula>
    </cfRule>
  </conditionalFormatting>
  <conditionalFormatting sqref="E124:E125">
    <cfRule type="expression" dxfId="89" priority="120" stopIfTrue="1">
      <formula>E$130 = "Closed"</formula>
    </cfRule>
  </conditionalFormatting>
  <conditionalFormatting sqref="F124">
    <cfRule type="cellIs" dxfId="88" priority="119" operator="notEqual">
      <formula>$T$31</formula>
    </cfRule>
  </conditionalFormatting>
  <conditionalFormatting sqref="F125">
    <cfRule type="cellIs" dxfId="87" priority="118" operator="notEqual">
      <formula>$T$32</formula>
    </cfRule>
  </conditionalFormatting>
  <conditionalFormatting sqref="F124:F125">
    <cfRule type="expression" dxfId="86" priority="117" stopIfTrue="1">
      <formula>F$130 = "Closed"</formula>
    </cfRule>
  </conditionalFormatting>
  <conditionalFormatting sqref="G124">
    <cfRule type="cellIs" dxfId="85" priority="116" operator="notEqual">
      <formula>$U$31</formula>
    </cfRule>
  </conditionalFormatting>
  <conditionalFormatting sqref="G125">
    <cfRule type="cellIs" dxfId="84" priority="115" operator="notEqual">
      <formula>$U$32</formula>
    </cfRule>
  </conditionalFormatting>
  <conditionalFormatting sqref="G124:G125">
    <cfRule type="expression" dxfId="83" priority="114" stopIfTrue="1">
      <formula>G$130 = "Closed"</formula>
    </cfRule>
  </conditionalFormatting>
  <conditionalFormatting sqref="B126:I126">
    <cfRule type="expression" dxfId="82" priority="113">
      <formula>B126&lt;&gt;0</formula>
    </cfRule>
  </conditionalFormatting>
  <conditionalFormatting sqref="H124:H125">
    <cfRule type="expression" dxfId="81" priority="112">
      <formula>LEN(TRIM(H124))&gt;0</formula>
    </cfRule>
  </conditionalFormatting>
  <conditionalFormatting sqref="H124:H125">
    <cfRule type="expression" dxfId="80" priority="111" stopIfTrue="1">
      <formula>$H$130 = "Closed"</formula>
    </cfRule>
  </conditionalFormatting>
  <conditionalFormatting sqref="C155">
    <cfRule type="cellIs" dxfId="79" priority="110" operator="notEqual">
      <formula>$Q$31</formula>
    </cfRule>
  </conditionalFormatting>
  <conditionalFormatting sqref="C156">
    <cfRule type="cellIs" dxfId="78" priority="109" operator="notEqual">
      <formula>$Q$32</formula>
    </cfRule>
  </conditionalFormatting>
  <conditionalFormatting sqref="C155:C156">
    <cfRule type="expression" dxfId="77" priority="108" stopIfTrue="1">
      <formula>C$161 = "Closed"</formula>
    </cfRule>
  </conditionalFormatting>
  <conditionalFormatting sqref="D155">
    <cfRule type="cellIs" dxfId="76" priority="107" operator="notEqual">
      <formula>$R$31</formula>
    </cfRule>
  </conditionalFormatting>
  <conditionalFormatting sqref="D156">
    <cfRule type="cellIs" dxfId="75" priority="106" operator="notEqual">
      <formula>$R$32</formula>
    </cfRule>
  </conditionalFormatting>
  <conditionalFormatting sqref="D155:D156">
    <cfRule type="expression" dxfId="74" priority="105" stopIfTrue="1">
      <formula>D$161 = "Closed"</formula>
    </cfRule>
  </conditionalFormatting>
  <conditionalFormatting sqref="E155">
    <cfRule type="cellIs" dxfId="73" priority="104" operator="notEqual">
      <formula>$S$31</formula>
    </cfRule>
  </conditionalFormatting>
  <conditionalFormatting sqref="E156">
    <cfRule type="cellIs" dxfId="72" priority="103" operator="notEqual">
      <formula>$S$32</formula>
    </cfRule>
  </conditionalFormatting>
  <conditionalFormatting sqref="E155:E156">
    <cfRule type="expression" dxfId="71" priority="102" stopIfTrue="1">
      <formula>E$161 = "Closed"</formula>
    </cfRule>
  </conditionalFormatting>
  <conditionalFormatting sqref="F155">
    <cfRule type="cellIs" dxfId="70" priority="101" operator="notEqual">
      <formula>$T$31</formula>
    </cfRule>
  </conditionalFormatting>
  <conditionalFormatting sqref="F156">
    <cfRule type="cellIs" dxfId="69" priority="100" operator="notEqual">
      <formula>$T$32</formula>
    </cfRule>
  </conditionalFormatting>
  <conditionalFormatting sqref="F155:F156">
    <cfRule type="expression" dxfId="68" priority="99" stopIfTrue="1">
      <formula>F$161 = "Closed"</formula>
    </cfRule>
  </conditionalFormatting>
  <conditionalFormatting sqref="G155">
    <cfRule type="cellIs" dxfId="67" priority="98" operator="notEqual">
      <formula>$U$31</formula>
    </cfRule>
  </conditionalFormatting>
  <conditionalFormatting sqref="G156">
    <cfRule type="cellIs" dxfId="66" priority="97" operator="notEqual">
      <formula>$U$32</formula>
    </cfRule>
  </conditionalFormatting>
  <conditionalFormatting sqref="G155:G156">
    <cfRule type="expression" dxfId="65" priority="96" stopIfTrue="1">
      <formula>G$161 = "Closed"</formula>
    </cfRule>
  </conditionalFormatting>
  <conditionalFormatting sqref="B157:I157">
    <cfRule type="expression" dxfId="64" priority="95">
      <formula>B157&lt;&gt;0</formula>
    </cfRule>
  </conditionalFormatting>
  <conditionalFormatting sqref="H155:H156">
    <cfRule type="expression" dxfId="63" priority="94">
      <formula>LEN(TRIM(H155))&gt;0</formula>
    </cfRule>
  </conditionalFormatting>
  <conditionalFormatting sqref="H155:H156">
    <cfRule type="expression" dxfId="62" priority="93" stopIfTrue="1">
      <formula>$H$161 = "Closed"</formula>
    </cfRule>
  </conditionalFormatting>
  <conditionalFormatting sqref="C186">
    <cfRule type="cellIs" dxfId="61" priority="92" operator="notEqual">
      <formula>$Q$31</formula>
    </cfRule>
  </conditionalFormatting>
  <conditionalFormatting sqref="C187">
    <cfRule type="cellIs" dxfId="60" priority="91" operator="notEqual">
      <formula>$Q$32</formula>
    </cfRule>
  </conditionalFormatting>
  <conditionalFormatting sqref="C186:C187">
    <cfRule type="expression" dxfId="59" priority="90" stopIfTrue="1">
      <formula>C$192 = "Closed"</formula>
    </cfRule>
  </conditionalFormatting>
  <conditionalFormatting sqref="D186">
    <cfRule type="cellIs" dxfId="58" priority="89" operator="notEqual">
      <formula>$R$31</formula>
    </cfRule>
  </conditionalFormatting>
  <conditionalFormatting sqref="D187">
    <cfRule type="cellIs" dxfId="57" priority="88" operator="notEqual">
      <formula>$R$32</formula>
    </cfRule>
  </conditionalFormatting>
  <conditionalFormatting sqref="D186:D187">
    <cfRule type="expression" dxfId="56" priority="87" stopIfTrue="1">
      <formula>D$192 = "Closed"</formula>
    </cfRule>
  </conditionalFormatting>
  <conditionalFormatting sqref="E186">
    <cfRule type="cellIs" dxfId="55" priority="86" operator="notEqual">
      <formula>$S$31</formula>
    </cfRule>
  </conditionalFormatting>
  <conditionalFormatting sqref="E187">
    <cfRule type="cellIs" dxfId="54" priority="85" operator="notEqual">
      <formula>$S$32</formula>
    </cfRule>
  </conditionalFormatting>
  <conditionalFormatting sqref="E186:E187">
    <cfRule type="expression" dxfId="53" priority="84" stopIfTrue="1">
      <formula>E$192 = "Closed"</formula>
    </cfRule>
  </conditionalFormatting>
  <conditionalFormatting sqref="F186">
    <cfRule type="cellIs" dxfId="52" priority="83" operator="notEqual">
      <formula>$T$31</formula>
    </cfRule>
  </conditionalFormatting>
  <conditionalFormatting sqref="F187">
    <cfRule type="cellIs" dxfId="51" priority="82" operator="notEqual">
      <formula>$T$32</formula>
    </cfRule>
  </conditionalFormatting>
  <conditionalFormatting sqref="F186:F187">
    <cfRule type="expression" dxfId="50" priority="81" stopIfTrue="1">
      <formula>F$192 = "Closed"</formula>
    </cfRule>
  </conditionalFormatting>
  <conditionalFormatting sqref="G186">
    <cfRule type="cellIs" dxfId="49" priority="80" operator="notEqual">
      <formula>$U$31</formula>
    </cfRule>
  </conditionalFormatting>
  <conditionalFormatting sqref="G187">
    <cfRule type="cellIs" dxfId="48" priority="79" operator="notEqual">
      <formula>$U$32</formula>
    </cfRule>
  </conditionalFormatting>
  <conditionalFormatting sqref="G186:G187">
    <cfRule type="expression" dxfId="47" priority="78" stopIfTrue="1">
      <formula>G$192 = "Closed"</formula>
    </cfRule>
  </conditionalFormatting>
  <conditionalFormatting sqref="B188:I188">
    <cfRule type="expression" dxfId="46" priority="77">
      <formula>B188&lt;&gt;0</formula>
    </cfRule>
  </conditionalFormatting>
  <conditionalFormatting sqref="H186:H187">
    <cfRule type="expression" dxfId="45" priority="76">
      <formula>LEN(TRIM(H186))&gt;0</formula>
    </cfRule>
  </conditionalFormatting>
  <conditionalFormatting sqref="H186:H187">
    <cfRule type="expression" dxfId="44" priority="75" stopIfTrue="1">
      <formula>$H$192 = "Closed"</formula>
    </cfRule>
  </conditionalFormatting>
  <conditionalFormatting sqref="C19:C20">
    <cfRule type="expression" dxfId="43" priority="74">
      <formula>MATCH(C$15,$L$11:$L$25,FALSE)</formula>
    </cfRule>
  </conditionalFormatting>
  <conditionalFormatting sqref="D19:D20">
    <cfRule type="expression" dxfId="42" priority="72">
      <formula>MATCH(D$15,$L$11:$L$25,FALSE)</formula>
    </cfRule>
  </conditionalFormatting>
  <conditionalFormatting sqref="E19:E20">
    <cfRule type="expression" dxfId="41" priority="70">
      <formula>MATCH(E$15,$L$11:$L$25,FALSE)</formula>
    </cfRule>
  </conditionalFormatting>
  <conditionalFormatting sqref="F19:F20">
    <cfRule type="expression" dxfId="40" priority="68">
      <formula>MATCH(F$15,$L$11:$L$25,FALSE)</formula>
    </cfRule>
  </conditionalFormatting>
  <conditionalFormatting sqref="G19:G20">
    <cfRule type="expression" dxfId="39" priority="66">
      <formula>MATCH(G$15,$L$11:$L$25,FALSE)</formula>
    </cfRule>
  </conditionalFormatting>
  <conditionalFormatting sqref="C50:C51">
    <cfRule type="expression" dxfId="38" priority="64">
      <formula>MATCH(C$46,$L$11:$L$25,FALSE)</formula>
    </cfRule>
  </conditionalFormatting>
  <conditionalFormatting sqref="D50:D51">
    <cfRule type="expression" dxfId="37" priority="62">
      <formula>MATCH(D$46,$L$11:$L$25,FALSE)</formula>
    </cfRule>
  </conditionalFormatting>
  <conditionalFormatting sqref="E50:E51">
    <cfRule type="expression" dxfId="36" priority="60">
      <formula>MATCH(E$46,$L$11:$L$25,FALSE)</formula>
    </cfRule>
  </conditionalFormatting>
  <conditionalFormatting sqref="F50:F51">
    <cfRule type="expression" dxfId="35" priority="58">
      <formula>MATCH(F$46,$L$11:$L$25,FALSE)</formula>
    </cfRule>
  </conditionalFormatting>
  <conditionalFormatting sqref="G50:G51">
    <cfRule type="expression" dxfId="34" priority="56">
      <formula>MATCH(G$46,$L$11:$L$25,FALSE)</formula>
    </cfRule>
  </conditionalFormatting>
  <conditionalFormatting sqref="C81:C82">
    <cfRule type="expression" dxfId="33" priority="54">
      <formula>MATCH(C$77,$L$11:$L$25,FALSE)</formula>
    </cfRule>
  </conditionalFormatting>
  <conditionalFormatting sqref="D81:D82">
    <cfRule type="expression" dxfId="32" priority="52">
      <formula>MATCH(D$77,$L$11:$L$25,FALSE)</formula>
    </cfRule>
  </conditionalFormatting>
  <conditionalFormatting sqref="E81:E82">
    <cfRule type="expression" dxfId="31" priority="50">
      <formula>MATCH(E$77,$L$11:$L$25,FALSE)</formula>
    </cfRule>
  </conditionalFormatting>
  <conditionalFormatting sqref="F81:F82">
    <cfRule type="expression" dxfId="30" priority="48">
      <formula>MATCH(F$77,$L$11:$L$25,FALSE)</formula>
    </cfRule>
  </conditionalFormatting>
  <conditionalFormatting sqref="G81:G82">
    <cfRule type="expression" dxfId="29" priority="46">
      <formula>MATCH(G$77,$L$11:$L$25,FALSE)</formula>
    </cfRule>
  </conditionalFormatting>
  <conditionalFormatting sqref="C112:C113">
    <cfRule type="expression" dxfId="28" priority="44">
      <formula>MATCH(C$108,$L$11:$L$25,FALSE)</formula>
    </cfRule>
  </conditionalFormatting>
  <conditionalFormatting sqref="D112:D113">
    <cfRule type="expression" dxfId="27" priority="42">
      <formula>MATCH(D$108,$L$11:$L$25,FALSE)</formula>
    </cfRule>
  </conditionalFormatting>
  <conditionalFormatting sqref="E112:E113">
    <cfRule type="expression" dxfId="26" priority="40">
      <formula>MATCH(E$108,$L$11:$L$25,FALSE)</formula>
    </cfRule>
  </conditionalFormatting>
  <conditionalFormatting sqref="F112:F113">
    <cfRule type="expression" dxfId="25" priority="38">
      <formula>MATCH(F$108,$L$11:$L$25,FALSE)</formula>
    </cfRule>
  </conditionalFormatting>
  <conditionalFormatting sqref="G112:G113">
    <cfRule type="expression" dxfId="24" priority="36">
      <formula>MATCH(G$108,$L$11:$L$25,FALSE)</formula>
    </cfRule>
  </conditionalFormatting>
  <conditionalFormatting sqref="C143:C144">
    <cfRule type="expression" dxfId="23" priority="34">
      <formula>MATCH(C$139,$L$11:$L$25,FALSE)</formula>
    </cfRule>
  </conditionalFormatting>
  <conditionalFormatting sqref="D143:D144">
    <cfRule type="expression" dxfId="22" priority="32">
      <formula>MATCH(D$139,$L$11:$L$25,FALSE)</formula>
    </cfRule>
  </conditionalFormatting>
  <conditionalFormatting sqref="E143:E144">
    <cfRule type="expression" dxfId="21" priority="30">
      <formula>MATCH(E$139,$L$11:$L$25,FALSE)</formula>
    </cfRule>
  </conditionalFormatting>
  <conditionalFormatting sqref="F143:F144">
    <cfRule type="expression" dxfId="20" priority="28">
      <formula>MATCH(F$139,$L$11:$L$25,FALSE)</formula>
    </cfRule>
  </conditionalFormatting>
  <conditionalFormatting sqref="G143:G144">
    <cfRule type="expression" dxfId="19" priority="26">
      <formula>MATCH(G$139,$L$11:$L$25,FALSE)</formula>
    </cfRule>
  </conditionalFormatting>
  <conditionalFormatting sqref="C174:C175">
    <cfRule type="expression" dxfId="18" priority="24">
      <formula>MATCH(C$170,$L$11:$L$25,FALSE)</formula>
    </cfRule>
  </conditionalFormatting>
  <conditionalFormatting sqref="D174:D175">
    <cfRule type="expression" dxfId="17" priority="22">
      <formula>MATCH(D$170,$L$11:$L$25,FALSE)</formula>
    </cfRule>
  </conditionalFormatting>
  <conditionalFormatting sqref="E174:E175">
    <cfRule type="expression" dxfId="16" priority="20">
      <formula>MATCH(E$170,$L$11:$L$25,FALSE)</formula>
    </cfRule>
  </conditionalFormatting>
  <conditionalFormatting sqref="F174:F175">
    <cfRule type="expression" dxfId="15" priority="18">
      <formula>MATCH(F$170,$L$11:$L$25,FALSE)</formula>
    </cfRule>
  </conditionalFormatting>
  <conditionalFormatting sqref="G174:G175">
    <cfRule type="expression" dxfId="14" priority="16">
      <formula>MATCH(G$170,$L$11:$L$25,FALSE)</formula>
    </cfRule>
  </conditionalFormatting>
  <conditionalFormatting sqref="H28">
    <cfRule type="expression" dxfId="13" priority="14">
      <formula>LEN(TRIM(H28))&gt;0</formula>
    </cfRule>
  </conditionalFormatting>
  <conditionalFormatting sqref="H28">
    <cfRule type="expression" dxfId="12" priority="13" stopIfTrue="1">
      <formula>$H$37 = "Closed"</formula>
    </cfRule>
  </conditionalFormatting>
  <conditionalFormatting sqref="H118">
    <cfRule type="expression" dxfId="11" priority="12">
      <formula>LEN(TRIM(H118))&gt;0</formula>
    </cfRule>
  </conditionalFormatting>
  <conditionalFormatting sqref="H118">
    <cfRule type="expression" dxfId="10" priority="11" stopIfTrue="1">
      <formula>$H$130 = "Closed"</formula>
    </cfRule>
  </conditionalFormatting>
  <conditionalFormatting sqref="F47">
    <cfRule type="cellIs" dxfId="9" priority="10" operator="notEqual">
      <formula>$S$16</formula>
    </cfRule>
  </conditionalFormatting>
  <conditionalFormatting sqref="F47">
    <cfRule type="expression" dxfId="8" priority="9" stopIfTrue="1">
      <formula>F$68 = "Closed"</formula>
    </cfRule>
  </conditionalFormatting>
  <conditionalFormatting sqref="G47">
    <cfRule type="cellIs" dxfId="7" priority="8" operator="notEqual">
      <formula>$S$16</formula>
    </cfRule>
  </conditionalFormatting>
  <conditionalFormatting sqref="G47">
    <cfRule type="expression" dxfId="6" priority="7" stopIfTrue="1">
      <formula>G$68 = "Closed"</formula>
    </cfRule>
  </conditionalFormatting>
  <conditionalFormatting sqref="E48">
    <cfRule type="cellIs" dxfId="5" priority="6" operator="notEqual">
      <formula>$R$17</formula>
    </cfRule>
  </conditionalFormatting>
  <conditionalFormatting sqref="E48">
    <cfRule type="expression" dxfId="4" priority="5" stopIfTrue="1">
      <formula>E$68 = "Closed"</formula>
    </cfRule>
  </conditionalFormatting>
  <conditionalFormatting sqref="F48">
    <cfRule type="cellIs" dxfId="3" priority="4" operator="notEqual">
      <formula>$R$17</formula>
    </cfRule>
  </conditionalFormatting>
  <conditionalFormatting sqref="F48">
    <cfRule type="expression" dxfId="2" priority="3" stopIfTrue="1">
      <formula>F$68 = "Closed"</formula>
    </cfRule>
  </conditionalFormatting>
  <conditionalFormatting sqref="G48">
    <cfRule type="cellIs" dxfId="1" priority="2" operator="notEqual">
      <formula>$R$17</formula>
    </cfRule>
  </conditionalFormatting>
  <conditionalFormatting sqref="G48">
    <cfRule type="expression" dxfId="0" priority="1" stopIfTrue="1">
      <formula>G$68 = "Closed"</formula>
    </cfRule>
  </conditionalFormatting>
  <hyperlinks>
    <hyperlink ref="Q8" r:id="rId1"/>
    <hyperlink ref="R8" r:id="rId2"/>
    <hyperlink ref="S8" r:id="rId3"/>
    <hyperlink ref="T8" r:id="rId4"/>
    <hyperlink ref="U8" r:id="rId5"/>
    <hyperlink ref="V8" r:id="rId6"/>
  </hyperlinks>
  <printOptions horizontalCentered="1" verticalCentered="1"/>
  <pageMargins left="0.4" right="0.7" top="0.75" bottom="0.75" header="0.3" footer="0.3"/>
  <pageSetup scale="10" orientation="landscape" r:id="rId7"/>
  <drawing r:id="rId8"/>
  <legacyDrawing r:id="rId9"/>
  <controls>
    <mc:AlternateContent xmlns:mc="http://schemas.openxmlformats.org/markup-compatibility/2006">
      <mc:Choice Requires="x14">
        <control shapeId="1149" r:id="rId10" name="cmb6">
          <controlPr defaultSize="0" autoLine="0" r:id="rId11">
            <anchor moveWithCells="1">
              <from>
                <xdr:col>21</xdr:col>
                <xdr:colOff>0</xdr:colOff>
                <xdr:row>9</xdr:row>
                <xdr:rowOff>0</xdr:rowOff>
              </from>
              <to>
                <xdr:col>22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9" r:id="rId10" name="cmb6"/>
      </mc:Fallback>
    </mc:AlternateContent>
    <mc:AlternateContent xmlns:mc="http://schemas.openxmlformats.org/markup-compatibility/2006">
      <mc:Choice Requires="x14">
        <control shapeId="1148" r:id="rId12" name="cmb5">
          <controlPr defaultSize="0" autoLine="0" r:id="rId13">
            <anchor moveWithCells="1">
              <from>
                <xdr:col>20</xdr:col>
                <xdr:colOff>0</xdr:colOff>
                <xdr:row>9</xdr:row>
                <xdr:rowOff>0</xdr:rowOff>
              </from>
              <to>
                <xdr:col>21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8" r:id="rId12" name="cmb5"/>
      </mc:Fallback>
    </mc:AlternateContent>
    <mc:AlternateContent xmlns:mc="http://schemas.openxmlformats.org/markup-compatibility/2006">
      <mc:Choice Requires="x14">
        <control shapeId="1147" r:id="rId14" name="cmb4">
          <controlPr defaultSize="0" autoLine="0" r:id="rId15">
            <anchor moveWithCells="1">
              <from>
                <xdr:col>19</xdr:col>
                <xdr:colOff>0</xdr:colOff>
                <xdr:row>9</xdr:row>
                <xdr:rowOff>0</xdr:rowOff>
              </from>
              <to>
                <xdr:col>20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7" r:id="rId14" name="cmb4"/>
      </mc:Fallback>
    </mc:AlternateContent>
    <mc:AlternateContent xmlns:mc="http://schemas.openxmlformats.org/markup-compatibility/2006">
      <mc:Choice Requires="x14">
        <control shapeId="1146" r:id="rId16" name="cmb3">
          <controlPr defaultSize="0" autoLine="0" r:id="rId17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6" r:id="rId16" name="cmb3"/>
      </mc:Fallback>
    </mc:AlternateContent>
    <mc:AlternateContent xmlns:mc="http://schemas.openxmlformats.org/markup-compatibility/2006">
      <mc:Choice Requires="x14">
        <control shapeId="1145" r:id="rId18" name="cmb2">
          <controlPr defaultSize="0" autoLine="0" r:id="rId19">
            <anchor moveWithCells="1">
              <from>
                <xdr:col>17</xdr:col>
                <xdr:colOff>0</xdr:colOff>
                <xdr:row>9</xdr:row>
                <xdr:rowOff>0</xdr:rowOff>
              </from>
              <to>
                <xdr:col>18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5" r:id="rId18" name="cmb2"/>
      </mc:Fallback>
    </mc:AlternateContent>
    <mc:AlternateContent xmlns:mc="http://schemas.openxmlformats.org/markup-compatibility/2006">
      <mc:Choice Requires="x14">
        <control shapeId="1144" r:id="rId20" name="cmb1">
          <controlPr defaultSize="0" autoLine="0" r:id="rId21">
            <anchor moveWithCells="1">
              <from>
                <xdr:col>16</xdr:col>
                <xdr:colOff>0</xdr:colOff>
                <xdr:row>9</xdr:row>
                <xdr:rowOff>0</xdr:rowOff>
              </from>
              <to>
                <xdr:col>17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1144" r:id="rId20" name="cmb1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InsertRow">
            <anchor moveWithCells="1" sizeWithCells="1">
              <from>
                <xdr:col>5</xdr:col>
                <xdr:colOff>1381125</xdr:colOff>
                <xdr:row>6</xdr:row>
                <xdr:rowOff>257175</xdr:rowOff>
              </from>
              <to>
                <xdr:col>9</xdr:col>
                <xdr:colOff>304800</xdr:colOff>
                <xdr:row>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23" name="Button 2">
          <controlPr defaultSize="0" print="0" autoFill="0" autoPict="0" macro="[0]!DeleteRows">
            <anchor moveWithCells="1" sizeWithCells="1">
              <from>
                <xdr:col>5</xdr:col>
                <xdr:colOff>1409700</xdr:colOff>
                <xdr:row>4</xdr:row>
                <xdr:rowOff>200025</xdr:rowOff>
              </from>
              <to>
                <xdr:col>9</xdr:col>
                <xdr:colOff>323850</xdr:colOff>
                <xdr:row>5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24" name="Button 3">
          <controlPr defaultSize="0" print="0" autoFill="0" autoPict="0" macro="[0]!formatWorksheet">
            <anchor moveWithCells="1" sizeWithCells="1">
              <from>
                <xdr:col>2</xdr:col>
                <xdr:colOff>38100</xdr:colOff>
                <xdr:row>6</xdr:row>
                <xdr:rowOff>257175</xdr:rowOff>
              </from>
              <to>
                <xdr:col>4</xdr:col>
                <xdr:colOff>1428750</xdr:colOff>
                <xdr:row>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5" name="Button 4">
          <controlPr defaultSize="0" print="0" autoFill="0" autoPict="0" macro="[0]!refreshPopup">
            <anchor moveWithCells="1" sizeWithCells="1">
              <from>
                <xdr:col>2</xdr:col>
                <xdr:colOff>28575</xdr:colOff>
                <xdr:row>4</xdr:row>
                <xdr:rowOff>200025</xdr:rowOff>
              </from>
              <to>
                <xdr:col>4</xdr:col>
                <xdr:colOff>1409700</xdr:colOff>
                <xdr:row>5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26" name="Button 5">
          <controlPr defaultSize="0" print="0" autoFill="0" autoPict="0" macro="[0]!emailPopup">
            <anchor moveWithCells="1" sizeWithCells="1">
              <from>
                <xdr:col>2</xdr:col>
                <xdr:colOff>9525</xdr:colOff>
                <xdr:row>7</xdr:row>
                <xdr:rowOff>590550</xdr:rowOff>
              </from>
              <to>
                <xdr:col>4</xdr:col>
                <xdr:colOff>1428750</xdr:colOff>
                <xdr:row>9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27" name="Button 6">
          <controlPr defaultSize="0" print="0" autoFill="0" autoPict="0" macro="[0]!printPopup">
            <anchor moveWithCells="1" sizeWithCells="1">
              <from>
                <xdr:col>5</xdr:col>
                <xdr:colOff>1343025</xdr:colOff>
                <xdr:row>8</xdr:row>
                <xdr:rowOff>47625</xdr:rowOff>
              </from>
              <to>
                <xdr:col>9</xdr:col>
                <xdr:colOff>257175</xdr:colOff>
                <xdr:row>9</xdr:row>
                <xdr:rowOff>428625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</vt:lpstr>
    </vt:vector>
  </TitlesOfParts>
  <Company>First Interstate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anthony.skinner@fib.com</dc:creator>
  <cp:lastModifiedBy>anthony.skinner</cp:lastModifiedBy>
  <cp:lastPrinted>2018-09-12T22:11:55Z</cp:lastPrinted>
  <dcterms:created xsi:type="dcterms:W3CDTF">2017-09-14T15:08:55Z</dcterms:created>
  <dcterms:modified xsi:type="dcterms:W3CDTF">2018-09-13T22:15:11Z</dcterms:modified>
</cp:coreProperties>
</file>